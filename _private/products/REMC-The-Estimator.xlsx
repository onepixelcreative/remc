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liammacleod/Desktop/2. REMC Ltd/15. Downloadable Content/"/>
    </mc:Choice>
  </mc:AlternateContent>
  <xr:revisionPtr revIDLastSave="0" documentId="13_ncr:1_{02954696-977D-024E-AA74-D32EDEE7159F}" xr6:coauthVersionLast="47" xr6:coauthVersionMax="47" xr10:uidLastSave="{00000000-0000-0000-0000-000000000000}"/>
  <bookViews>
    <workbookView xWindow="0" yWindow="500" windowWidth="51200" windowHeight="26600" tabRatio="500" activeTab="8" xr2:uid="{00000000-000D-0000-FFFF-FFFF00000000}"/>
  </bookViews>
  <sheets>
    <sheet name="Read Me" sheetId="1" r:id="rId1"/>
    <sheet name="1. Your Setup" sheetId="2" r:id="rId2"/>
    <sheet name="2. Materials" sheetId="3" r:id="rId3"/>
    <sheet name="3. Travel" sheetId="4" r:id="rId4"/>
    <sheet name="4. Accommodation" sheetId="5" r:id="rId5"/>
    <sheet name="5. Pricing Sheet" sheetId="6" r:id="rId6"/>
    <sheet name="6. Exclusions" sheetId="7" r:id="rId7"/>
    <sheet name="7. Check Sheet" sheetId="9" r:id="rId8"/>
    <sheet name="8. Client Quote" sheetId="8" r:id="rId9"/>
  </sheets>
  <definedNames>
    <definedName name="MatCategories">'2. Materials'!$B$16:$B$90</definedName>
    <definedName name="MatItems">'2. Materials'!$C$16:$C$90</definedName>
    <definedName name="_xlnm.Print_Area" localSheetId="1">'1. Your Setup'!$A$1:$H$31</definedName>
    <definedName name="_xlnm.Print_Area" localSheetId="2">'2. Materials'!$A$1:$K$91</definedName>
    <definedName name="_xlnm.Print_Area" localSheetId="3">'3. Travel'!$A$1:$G$23</definedName>
    <definedName name="_xlnm.Print_Area" localSheetId="4">'4. Accommodation'!$A$1:$G$22</definedName>
    <definedName name="_xlnm.Print_Area" localSheetId="5">'5. Pricing Sheet'!$A$1:$O$74</definedName>
    <definedName name="_xlnm.Print_Area" localSheetId="6">'6. Exclusions'!$A$1:$G$49</definedName>
    <definedName name="_xlnm.Print_Area" localSheetId="7">'7. Check Sheet'!$A$1:$G$24</definedName>
    <definedName name="_xlnm.Print_Area" localSheetId="8">'8. Client Quote'!$A$1:$G$73</definedName>
    <definedName name="_xlnm.Print_Area" localSheetId="0">'Read Me'!$A$1:$H$34</definedName>
    <definedName name="SectionNames">'5. Pricing Sheet'!$C$17:$C$22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0" i="8" l="1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F21" i="8"/>
  <c r="B21" i="8"/>
  <c r="F18" i="8"/>
  <c r="B18" i="8"/>
  <c r="F17" i="8"/>
  <c r="B17" i="8"/>
  <c r="F16" i="8"/>
  <c r="B16" i="8"/>
  <c r="B15" i="8"/>
  <c r="B14" i="8"/>
  <c r="B13" i="8"/>
  <c r="F10" i="8"/>
  <c r="C10" i="8"/>
  <c r="C9" i="8"/>
  <c r="F8" i="8"/>
  <c r="C8" i="8"/>
  <c r="B3" i="8"/>
  <c r="B2" i="8"/>
  <c r="L66" i="6"/>
  <c r="F23" i="8" s="1"/>
  <c r="K64" i="6"/>
  <c r="K62" i="6"/>
  <c r="K61" i="6"/>
  <c r="L56" i="6"/>
  <c r="F20" i="8" s="1"/>
  <c r="K47" i="6"/>
  <c r="H47" i="6"/>
  <c r="I47" i="6" s="1"/>
  <c r="F47" i="6"/>
  <c r="K46" i="6"/>
  <c r="H46" i="6"/>
  <c r="I46" i="6" s="1"/>
  <c r="F46" i="6"/>
  <c r="K45" i="6"/>
  <c r="I45" i="6"/>
  <c r="L45" i="6" s="1"/>
  <c r="H45" i="6"/>
  <c r="F45" i="6"/>
  <c r="K44" i="6"/>
  <c r="H44" i="6"/>
  <c r="I44" i="6" s="1"/>
  <c r="F44" i="6"/>
  <c r="K43" i="6"/>
  <c r="I43" i="6"/>
  <c r="H43" i="6"/>
  <c r="F43" i="6"/>
  <c r="K42" i="6"/>
  <c r="I42" i="6"/>
  <c r="H42" i="6"/>
  <c r="F42" i="6"/>
  <c r="K41" i="6"/>
  <c r="L41" i="6" s="1"/>
  <c r="I41" i="6"/>
  <c r="H41" i="6"/>
  <c r="F41" i="6"/>
  <c r="K40" i="6"/>
  <c r="H40" i="6"/>
  <c r="I40" i="6" s="1"/>
  <c r="F40" i="6"/>
  <c r="K39" i="6"/>
  <c r="H39" i="6"/>
  <c r="I39" i="6" s="1"/>
  <c r="L39" i="6" s="1"/>
  <c r="F39" i="6"/>
  <c r="K38" i="6"/>
  <c r="H38" i="6"/>
  <c r="I38" i="6" s="1"/>
  <c r="L38" i="6" s="1"/>
  <c r="F38" i="6"/>
  <c r="K37" i="6"/>
  <c r="I37" i="6"/>
  <c r="H37" i="6"/>
  <c r="F37" i="6"/>
  <c r="K36" i="6"/>
  <c r="I36" i="6"/>
  <c r="H36" i="6"/>
  <c r="F36" i="6"/>
  <c r="K35" i="6"/>
  <c r="I35" i="6"/>
  <c r="H35" i="6"/>
  <c r="F35" i="6"/>
  <c r="K34" i="6"/>
  <c r="I34" i="6"/>
  <c r="L34" i="6" s="1"/>
  <c r="H34" i="6"/>
  <c r="F34" i="6"/>
  <c r="K33" i="6"/>
  <c r="L33" i="6" s="1"/>
  <c r="I33" i="6"/>
  <c r="H33" i="6"/>
  <c r="F33" i="6"/>
  <c r="K32" i="6"/>
  <c r="H32" i="6"/>
  <c r="I32" i="6" s="1"/>
  <c r="F32" i="6"/>
  <c r="K31" i="6"/>
  <c r="H31" i="6"/>
  <c r="I31" i="6" s="1"/>
  <c r="L31" i="6" s="1"/>
  <c r="F31" i="6"/>
  <c r="K30" i="6"/>
  <c r="H30" i="6"/>
  <c r="I30" i="6" s="1"/>
  <c r="F30" i="6"/>
  <c r="K29" i="6"/>
  <c r="I29" i="6"/>
  <c r="H29" i="6"/>
  <c r="F29" i="6"/>
  <c r="K28" i="6"/>
  <c r="H28" i="6"/>
  <c r="I28" i="6" s="1"/>
  <c r="F28" i="6"/>
  <c r="K27" i="6"/>
  <c r="I27" i="6"/>
  <c r="H27" i="6"/>
  <c r="F27" i="6"/>
  <c r="K26" i="6"/>
  <c r="H26" i="6"/>
  <c r="I26" i="6" s="1"/>
  <c r="F26" i="6"/>
  <c r="E11" i="6"/>
  <c r="F9" i="8" s="1"/>
  <c r="C12" i="5"/>
  <c r="C18" i="5" s="1"/>
  <c r="C11" i="5"/>
  <c r="C10" i="5"/>
  <c r="C16" i="5" s="1"/>
  <c r="C10" i="4"/>
  <c r="C13" i="5" s="1"/>
  <c r="C17" i="5" s="1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C13" i="3"/>
  <c r="G13" i="3" s="1"/>
  <c r="C29" i="2"/>
  <c r="L26" i="6" l="1"/>
  <c r="L28" i="6"/>
  <c r="L46" i="6"/>
  <c r="L35" i="6"/>
  <c r="L47" i="6"/>
  <c r="L36" i="6"/>
  <c r="L30" i="6"/>
  <c r="L43" i="6"/>
  <c r="L37" i="6"/>
  <c r="L40" i="6"/>
  <c r="L44" i="6"/>
  <c r="L54" i="6"/>
  <c r="L27" i="6"/>
  <c r="L29" i="6"/>
  <c r="L42" i="6"/>
  <c r="L32" i="6"/>
  <c r="C20" i="5"/>
  <c r="L53" i="6" s="1"/>
  <c r="C16" i="4"/>
  <c r="F73" i="6"/>
  <c r="B20" i="8"/>
  <c r="E13" i="3"/>
  <c r="L48" i="6" l="1"/>
  <c r="C18" i="4"/>
  <c r="C19" i="4" s="1"/>
  <c r="C17" i="4"/>
  <c r="C21" i="4" l="1"/>
  <c r="L52" i="6" s="1"/>
  <c r="L60" i="6" s="1"/>
  <c r="L61" i="6" s="1"/>
  <c r="L62" i="6" l="1"/>
  <c r="L63" i="6" s="1"/>
  <c r="B71" i="6" l="1"/>
  <c r="L64" i="6"/>
  <c r="L65" i="6" s="1"/>
  <c r="B73" i="6" l="1"/>
  <c r="F14" i="8"/>
  <c r="F19" i="8"/>
  <c r="F71" i="6"/>
  <c r="F22" i="8"/>
  <c r="L67" i="6"/>
  <c r="F24" i="8" s="1"/>
  <c r="I73" i="6"/>
  <c r="F15" i="8"/>
  <c r="I71" i="6"/>
  <c r="B19" i="8"/>
  <c r="F1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9" authorId="0" shapeId="0" xr:uid="{00000000-0006-0000-0100-000007000000}">
      <text>
        <r>
          <rPr>
            <sz val="10"/>
            <color rgb="FF000000"/>
            <rFont val="Arial"/>
            <family val="2"/>
          </rPr>
          <t>Set this once. It's the default rate that fills every labour line on the Pricing Sheet. Most sole-trader sparkies charge between £35 and £55 an hour depending on region and specialism.</t>
        </r>
      </text>
    </comment>
    <comment ref="E12" authorId="0" shapeId="0" xr:uid="{00000000-0006-0000-0100-000008000000}">
      <text>
        <r>
          <rPr>
            <sz val="10"/>
            <color rgb="FF000000"/>
            <rFont val="Arial"/>
            <family val="2"/>
          </rPr>
          <t>Your business running costs (insurance, accountant, phone, software) as a % of job cost. 10% is a sensible starting point.</t>
        </r>
      </text>
    </comment>
    <comment ref="E13" authorId="0" shapeId="0" xr:uid="{00000000-0006-0000-0100-000009000000}">
      <text>
        <r>
          <rPr>
            <sz val="10"/>
            <color rgb="FF000000"/>
            <rFont val="Arial"/>
            <family val="2"/>
          </rPr>
          <t>Profit on top after all costs. 20% is a typical starting point. Aim higher on specialist work.</t>
        </r>
      </text>
    </comment>
    <comment ref="E14" authorId="0" shapeId="0" xr:uid="{00000000-0006-0000-0100-00000A000000}">
      <text>
        <r>
          <rPr>
            <sz val="10"/>
            <color rgb="FF000000"/>
            <rFont val="Arial"/>
            <family val="2"/>
          </rPr>
          <t>Built-in buffer for things that always go a bit over. 5% on straightforward jobs, more on uncertain ones.</t>
        </r>
      </text>
    </comment>
    <comment ref="E15" authorId="0" shapeId="0" xr:uid="{00000000-0006-0000-0100-00000B000000}">
      <text>
        <r>
          <rPr>
            <sz val="10"/>
            <rFont val="Arial"/>
            <family val="2"/>
          </rPr>
          <t>What you add on top of your wholesaler price. 20% is industry norm.</t>
        </r>
      </text>
    </comment>
    <comment ref="E16" authorId="0" shapeId="0" xr:uid="{00000000-0006-0000-0100-00000C000000}">
      <text>
        <r>
          <rPr>
            <sz val="10"/>
            <rFont val="Arial"/>
            <family val="2"/>
          </rPr>
          <t>What you add to a sub's price for managing them and taking the risk.</t>
        </r>
      </text>
    </comment>
    <comment ref="B20" authorId="0" shapeId="0" xr:uid="{00000000-0006-0000-0100-000001000000}">
      <text>
        <r>
          <rPr>
            <sz val="10"/>
            <rFont val="Arial"/>
            <family val="2"/>
          </rPr>
          <t>Fuel + wear + tear. HMRC's tax-free rate for car drivers is 45p/mile for the first 10,000 miles. Set higher if your costs are higher.</t>
        </r>
      </text>
    </comment>
    <comment ref="B21" authorId="0" shapeId="0" xr:uid="{00000000-0006-0000-0100-000002000000}">
      <text>
        <r>
          <rPr>
            <sz val="10"/>
            <rFont val="Arial"/>
            <family val="2"/>
          </rPr>
          <t>Realistic average including traffic. 30–35mph is typical for mixed routes.</t>
        </r>
      </text>
    </comment>
    <comment ref="B22" authorId="0" shapeId="0" xr:uid="{00000000-0006-0000-0100-000003000000}">
      <text>
        <r>
          <rPr>
            <sz val="10"/>
            <rFont val="Arial"/>
            <family val="2"/>
          </rPr>
          <t>Standard productive hours you work on site per day. Used to convert total labour hours into days. 8 is typical for sparkies — bump to 9 or 10 if you regularly do longer days.</t>
        </r>
      </text>
    </comment>
    <comment ref="B26" authorId="0" shapeId="0" xr:uid="{00000000-0006-0000-0100-000004000000}">
      <text>
        <r>
          <rPr>
            <sz val="10"/>
            <rFont val="Arial"/>
            <family val="2"/>
          </rPr>
          <t>What running your van costs per working day. Annual cost ÷ working days = daily cost.</t>
        </r>
      </text>
    </comment>
    <comment ref="B27" authorId="0" shapeId="0" xr:uid="{00000000-0006-0000-0100-000005000000}">
      <text>
        <r>
          <rPr>
            <sz val="10"/>
            <rFont val="Arial"/>
            <family val="2"/>
          </rPr>
          <t>Disposable consumables (screws, terminals, tape), wear on tools, gloves, masks, safety glasses.</t>
        </r>
      </text>
    </comment>
    <comment ref="B28" authorId="0" shapeId="0" xr:uid="{00000000-0006-0000-0100-000006000000}">
      <text>
        <r>
          <rPr>
            <sz val="10"/>
            <rFont val="Arial"/>
            <family val="2"/>
          </rPr>
          <t>Tea, water, food away from home, basic kit you'd not have if you stayed at the yard.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8" authorId="0" shapeId="0" xr:uid="{00000000-0006-0000-0300-000001000000}">
      <text>
        <r>
          <rPr>
            <sz val="10"/>
            <color rgb="FF000000"/>
            <rFont val="Arial"/>
            <family val="2"/>
          </rPr>
          <t>Just so you know which job this travel relates to. Optional.</t>
        </r>
      </text>
    </comment>
    <comment ref="B9" authorId="0" shapeId="0" xr:uid="{00000000-0006-0000-0300-000002000000}">
      <text>
        <r>
          <rPr>
            <sz val="10"/>
            <color rgb="FF000000"/>
            <rFont val="Arial"/>
            <family val="2"/>
          </rPr>
          <t>Tip: use Google Maps. Just the distance one way — we'll double it for the return.</t>
        </r>
      </text>
    </comment>
    <comment ref="B10" authorId="0" shapeId="0" xr:uid="{00000000-0006-0000-0300-000003000000}">
      <text>
        <r>
          <rPr>
            <sz val="10"/>
            <color rgb="FF000000"/>
            <rFont val="Arial"/>
            <family val="2"/>
          </rPr>
          <t>Auto-calculated from total labour hours on the Pricing Sheet, rounded up to a whole day. Type a number here to override (e.g. if access is restricted to evenings only).</t>
        </r>
      </text>
    </comment>
    <comment ref="B11" authorId="0" shapeId="0" xr:uid="{00000000-0006-0000-0300-000004000000}">
      <text>
        <r>
          <rPr>
            <sz val="10"/>
            <color rgb="FF000000"/>
            <rFont val="Arial"/>
            <family val="2"/>
          </rPr>
          <t>Usually 1 (drive in, drive home). Could be 2 if you go back at lunch, etc.</t>
        </r>
      </text>
    </comment>
    <comment ref="B12" authorId="0" shapeId="0" xr:uid="{00000000-0006-0000-0300-000005000000}">
      <text>
        <r>
          <rPr>
            <sz val="10"/>
            <color rgb="FF000000"/>
            <rFont val="Arial"/>
            <family val="2"/>
          </rPr>
          <t>Leave as 1 if you're working alone. Increase if you're taking a mate or apprentice.</t>
        </r>
      </text>
    </comment>
    <comment ref="B17" authorId="0" shapeId="0" xr:uid="{00000000-0006-0000-0300-000006000000}">
      <text>
        <r>
          <rPr>
            <sz val="10"/>
            <rFont val="Arial"/>
            <family val="2"/>
          </rPr>
          <t>Total miles × your mileage rate from 'Your Setup'</t>
        </r>
      </text>
    </comment>
    <comment ref="B18" authorId="0" shapeId="0" xr:uid="{00000000-0006-0000-0300-000007000000}">
      <text>
        <r>
          <rPr>
            <sz val="10"/>
            <rFont val="Arial"/>
            <family val="2"/>
          </rPr>
          <t>Total miles ÷ average mph × number of people travelling.</t>
        </r>
      </text>
    </comment>
    <comment ref="B19" authorId="0" shapeId="0" xr:uid="{00000000-0006-0000-0300-000008000000}">
      <text>
        <r>
          <rPr>
            <sz val="10"/>
            <rFont val="Arial"/>
            <family val="2"/>
          </rPr>
          <t>Driving hours × your hourly rate from 'Your Setup'. Adjust manually here if you want to charge a different rate for travel time on this specific job.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8" authorId="0" shapeId="0" xr:uid="{00000000-0006-0000-0400-000001000000}">
      <text>
        <r>
          <rPr>
            <sz val="10"/>
            <color rgb="FF000000"/>
            <rFont val="Arial"/>
            <family val="2"/>
          </rPr>
          <t>How many nights you'll be sleeping away from home for this job.</t>
        </r>
      </text>
    </comment>
    <comment ref="B9" authorId="0" shapeId="0" xr:uid="{00000000-0006-0000-0400-000002000000}">
      <text>
        <r>
          <rPr>
            <sz val="10"/>
            <rFont val="Arial"/>
            <family val="2"/>
          </rPr>
          <t>Usually 1 if you're working alone.</t>
        </r>
      </text>
    </comment>
    <comment ref="B10" authorId="0" shapeId="0" xr:uid="{00000000-0006-0000-0400-000003000000}">
      <text>
        <r>
          <rPr>
            <sz val="10"/>
            <color rgb="FF000000"/>
            <rFont val="Arial"/>
            <family val="2"/>
          </rPr>
          <t>Pre-filled from 'Your Setup'. Override here for this specific job if needed.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8" authorId="0" shapeId="0" xr:uid="{00000000-0006-0000-0500-000001000000}">
      <text>
        <r>
          <rPr>
            <sz val="10"/>
            <color rgb="FF000000"/>
            <rFont val="Arial"/>
            <family val="2"/>
          </rPr>
          <t>Add the project reference from your Enquiry Register here. This appears as the Quote reference on the Client Quote. Use the same reference everywhere — your file name, your invoices, your enquiry register — so nothing gets lost.</t>
        </r>
      </text>
    </comment>
  </commentList>
</comments>
</file>

<file path=xl/sharedStrings.xml><?xml version="1.0" encoding="utf-8"?>
<sst xmlns="http://schemas.openxmlformats.org/spreadsheetml/2006/main" count="555" uniqueCount="338">
  <si>
    <t>The Estimator</t>
  </si>
  <si>
    <t>by REMC</t>
  </si>
  <si>
    <t>Stop quoting on guesswork. Win the right jobs at the right price.</t>
  </si>
  <si>
    <t>How it works</t>
  </si>
  <si>
    <t>1. Set Up</t>
  </si>
  <si>
    <t>On 'Your Setup', enter labour rates, mileage and your daily site costs ONCE. Everything pulls from here.</t>
  </si>
  <si>
    <t>2. Materials</t>
  </si>
  <si>
    <t>Add your wholesaler prices on the 'Materials' tab. Edit prices when they move.</t>
  </si>
  <si>
    <t>3. Travel &amp; Stays</t>
  </si>
  <si>
    <t>If the job involves travel or staying away, use those tabs. Totals flow into the quote.</t>
  </si>
  <si>
    <t>4. Pricing Sheet</t>
  </si>
  <si>
    <t>Build the job line-by-line. The live dashboard shows you what you're making.</t>
  </si>
  <si>
    <t>5. Exclusions</t>
  </si>
  <si>
    <t>Tick what isn't included. They appear on the Client Quote automatically.</t>
  </si>
  <si>
    <t>6. Send</t>
  </si>
  <si>
    <t>Save just the 'Client Quote' tab as a PDF (full instructions on that tab). Use 'Cheat Sheet' before every send.</t>
  </si>
  <si>
    <t xml:space="preserve">  IMPORTANT — USE THIS AS A TEMPLATE</t>
  </si>
  <si>
    <t>This workbook is your master template. Keep it clean. For every new job, make a copy.</t>
  </si>
  <si>
    <t>Step 1 — Save the master safely</t>
  </si>
  <si>
    <t>Save this file once with a clear name like "The Estimator — MASTER.xlsx". Don't ever touch this version again to quote a job.</t>
  </si>
  <si>
    <t>Step 2 — For every new job, Save As</t>
  </si>
  <si>
    <t>Open the master. The first thing you do is File → Save As. Give the new file a name like "Quote — [Project Ref] — [Client Name].xlsx". Save it in a Quotes folder. Now you're working on a copy, not the master.</t>
  </si>
  <si>
    <t>Step 3 — Quote the job</t>
  </si>
  <si>
    <t>Add the project reference (from your enquiry register) into the Job Details on the Pricing Sheet. Build the quote. Print the Client Quote to PDF and send.</t>
  </si>
  <si>
    <t>Step 4 — Update the master, not your quotes</t>
  </si>
  <si>
    <t>When your supplier prices change, your labour rate changes, or you add new materials — update the MASTER file. Old quotes stay locked at the price they were quoted at.</t>
  </si>
  <si>
    <t>Why? If you quote on the master and save, your next quote starts with the last job's data in it. Mistakes happen that way.</t>
  </si>
  <si>
    <t>Cell colours</t>
  </si>
  <si>
    <t>Blue panels</t>
  </si>
  <si>
    <t>Inputs — type here</t>
  </si>
  <si>
    <t>White cells</t>
  </si>
  <si>
    <t>Calculated — don't overtype</t>
  </si>
  <si>
    <t>Yellow</t>
  </si>
  <si>
    <t>Key assumptions to double-check</t>
  </si>
  <si>
    <t>A reminder of these colours appears in the top-right of every working tab.</t>
  </si>
  <si>
    <t>Built by REMC Ltd — outsourced estimating for electrical contractors</t>
  </si>
  <si>
    <t>Your Setup</t>
  </si>
  <si>
    <t>KEY</t>
  </si>
  <si>
    <t>Enter these once. The whole workbook uses them.</t>
  </si>
  <si>
    <t>Type here</t>
  </si>
  <si>
    <t>Calculated</t>
  </si>
  <si>
    <t>Check this</t>
  </si>
  <si>
    <t xml:space="preserve">  YOUR BUSINESS</t>
  </si>
  <si>
    <t xml:space="preserve">  YOUR LABOUR RATE</t>
  </si>
  <si>
    <t>Business name</t>
  </si>
  <si>
    <t>Your Business Ltd</t>
  </si>
  <si>
    <t>What you charge per hour for your time on site. This pre-fills every labour line on the Pricing Sheet — you can override it per line if a job needs a different rate.</t>
  </si>
  <si>
    <t>Address line 1</t>
  </si>
  <si>
    <t>1 Example Street</t>
  </si>
  <si>
    <t>Your hourly rate (£/hour)</t>
  </si>
  <si>
    <t>Address line 2</t>
  </si>
  <si>
    <t>Town</t>
  </si>
  <si>
    <t>Postcode</t>
  </si>
  <si>
    <t>SW1 1AA</t>
  </si>
  <si>
    <t xml:space="preserve">  MARGIN &amp; OVERHEAD</t>
  </si>
  <si>
    <t>Phone</t>
  </si>
  <si>
    <t>07123 456 789</t>
  </si>
  <si>
    <t>Overhead recovery %</t>
  </si>
  <si>
    <t>Email</t>
  </si>
  <si>
    <t>you@yourbusiness.co.uk</t>
  </si>
  <si>
    <t>Target net margin %</t>
  </si>
  <si>
    <t>VAT number (blank if none)</t>
  </si>
  <si>
    <t>Default contingency %</t>
  </si>
  <si>
    <t>UTR / Company no.</t>
  </si>
  <si>
    <t>Default materials markup %</t>
  </si>
  <si>
    <t>Payment terms</t>
  </si>
  <si>
    <t>Payment due within 14 days of invoice</t>
  </si>
  <si>
    <t>Default subcontractor markup %</t>
  </si>
  <si>
    <t>Quote validity (days)</t>
  </si>
  <si>
    <t xml:space="preserve">  ACCOMMODATION DEFAULTS</t>
  </si>
  <si>
    <t xml:space="preserve">  TRAVEL &amp; WORKING DAY</t>
  </si>
  <si>
    <t>£ per night (B&amp;B / hotel)</t>
  </si>
  <si>
    <t>Mileage rate (£/mile)</t>
  </si>
  <si>
    <t>Food allowance per day</t>
  </si>
  <si>
    <t>Average mph for travel time</t>
  </si>
  <si>
    <t>Evening parking per night</t>
  </si>
  <si>
    <t>Working hours per day</t>
  </si>
  <si>
    <t xml:space="preserve">  YOUR DAILY SITE COSTS</t>
  </si>
  <si>
    <t>What it costs you to be on site for one day, before labour or materials.</t>
  </si>
  <si>
    <t>Van (fuel, insurance, tax per day)</t>
  </si>
  <si>
    <t>Tools, consumables, PPE</t>
  </si>
  <si>
    <t>Welfare (food, drink, basics)</t>
  </si>
  <si>
    <t>Total daily site cost</t>
  </si>
  <si>
    <t>Tip: hover over any label with a small red triangle for an explanation.</t>
  </si>
  <si>
    <t>Materials Library</t>
  </si>
  <si>
    <t>Your reusable price list. The Pricing Sheet pulls from here.</t>
  </si>
  <si>
    <t>HOW TO USE THIS TAB</t>
  </si>
  <si>
    <t>1.  Add every material you use regularly. The samples below are just to get you started — overwrite them, delete them, add to them.</t>
  </si>
  <si>
    <t>2.  Enter YOUR supplier's trade prices in the 'Trade price' column. Different sparkies have different deals — use yours, not the defaults.</t>
  </si>
  <si>
    <t>3.  Set YOUR markup % in the 'Markup %' column. The 'Sell price' calculates automatically.</t>
  </si>
  <si>
    <t>4.  Update prices MONTHLY (or whenever your supplier moves them). The 'Last updated' cell tracks when you last touched each line.</t>
  </si>
  <si>
    <t>5.  The Pricing Sheet pulls from this list. If a price is wrong here, every quote you write will be wrong too.</t>
  </si>
  <si>
    <t>LAST REVIEWED</t>
  </si>
  <si>
    <t>DAYS SINCE</t>
  </si>
  <si>
    <t>STATUS</t>
  </si>
  <si>
    <t>Category</t>
  </si>
  <si>
    <t>Item description</t>
  </si>
  <si>
    <t>Unit</t>
  </si>
  <si>
    <t>Trade price</t>
  </si>
  <si>
    <t>Markup %</t>
  </si>
  <si>
    <t>Sell price</t>
  </si>
  <si>
    <t>Last updated</t>
  </si>
  <si>
    <t>Cable</t>
  </si>
  <si>
    <t>1.0mm² T&amp;E twin &amp; earth</t>
  </si>
  <si>
    <t>m</t>
  </si>
  <si>
    <t>2026-04-01</t>
  </si>
  <si>
    <t>1.5mm² T&amp;E twin &amp; earth</t>
  </si>
  <si>
    <t>2.5mm² T&amp;E twin &amp; earth</t>
  </si>
  <si>
    <t>4.0mm² T&amp;E twin &amp; earth</t>
  </si>
  <si>
    <t>6.0mm² T&amp;E twin &amp; earth</t>
  </si>
  <si>
    <t>10.0mm² T&amp;E twin &amp; earth</t>
  </si>
  <si>
    <t>1.5mm² 3-core SWA</t>
  </si>
  <si>
    <t>2.5mm² 3-core SWA</t>
  </si>
  <si>
    <t>1.5mm² 3-core flex (HO5VV-F)</t>
  </si>
  <si>
    <t>FP200 fire-rated 1.5mm² 2c+e</t>
  </si>
  <si>
    <t>Accessories</t>
  </si>
  <si>
    <t>13A single socket — white moulded</t>
  </si>
  <si>
    <t>ea</t>
  </si>
  <si>
    <t>13A twin socket — white moulded</t>
  </si>
  <si>
    <t>13A twin socket — USB-A&amp;C</t>
  </si>
  <si>
    <t>1G 2W switch — white moulded</t>
  </si>
  <si>
    <t>2G 2W switch — white moulded</t>
  </si>
  <si>
    <t>Pendant set + lampholder</t>
  </si>
  <si>
    <t>Cooker control unit 45A + socket</t>
  </si>
  <si>
    <t>Fused spur switched neon</t>
  </si>
  <si>
    <t>Shaver socket dual voltage</t>
  </si>
  <si>
    <t>Lighting</t>
  </si>
  <si>
    <t>GU10 downlight — fire-rated white</t>
  </si>
  <si>
    <t>GU10 LED lamp 5W warm white</t>
  </si>
  <si>
    <t>LED batten 5ft IP20</t>
  </si>
  <si>
    <t>LED batten 6ft IP65</t>
  </si>
  <si>
    <t>LED panel 600x600 4000K</t>
  </si>
  <si>
    <t>Emergency bulkhead 3hr maintained</t>
  </si>
  <si>
    <t>Floodlight 30W PIR LED</t>
  </si>
  <si>
    <t>Containment</t>
  </si>
  <si>
    <t>20mm white PVC conduit</t>
  </si>
  <si>
    <t>25mm white PVC conduit</t>
  </si>
  <si>
    <t>20mm galv steel conduit</t>
  </si>
  <si>
    <t>25x16mm white trunking</t>
  </si>
  <si>
    <t>50x50mm white trunking</t>
  </si>
  <si>
    <t>Cable tray 75mm pre-galv</t>
  </si>
  <si>
    <t>Basket tray 100mm wire</t>
  </si>
  <si>
    <t>Distribution Equipment</t>
  </si>
  <si>
    <t>Consumer unit 10-way dual RCD</t>
  </si>
  <si>
    <t>Consumer unit 12-way SPD</t>
  </si>
  <si>
    <t>Garage unit 4-way RCD</t>
  </si>
  <si>
    <t>RCBO 6A type C</t>
  </si>
  <si>
    <t>RCBO 16A type C</t>
  </si>
  <si>
    <t>RCBO 32A type C</t>
  </si>
  <si>
    <t>RCBO 40A type C</t>
  </si>
  <si>
    <t>SPD type 2</t>
  </si>
  <si>
    <t>Isolator switch 100A 4-pole</t>
  </si>
  <si>
    <t>Sundries</t>
  </si>
  <si>
    <t>Back box single 25mm metal</t>
  </si>
  <si>
    <t>Back box twin 25mm metal</t>
  </si>
  <si>
    <t>Back box single 35mm dry-line</t>
  </si>
  <si>
    <t>Junction box 30A 5-way</t>
  </si>
  <si>
    <t>Wago 221 lever connector 3-way</t>
  </si>
  <si>
    <t>Cable clips 2.5mm² (box 100)</t>
  </si>
  <si>
    <t>box</t>
  </si>
  <si>
    <t>Testing &amp; Cert</t>
  </si>
  <si>
    <t>EICR per circuit</t>
  </si>
  <si>
    <t>Minor works cert</t>
  </si>
  <si>
    <t>EIC (new install)</t>
  </si>
  <si>
    <t>Data &amp; Comms</t>
  </si>
  <si>
    <t>Cat6 UTP cable (305m box)</t>
  </si>
  <si>
    <t>Cat6 RJ45 module Krone</t>
  </si>
  <si>
    <t>Faceplate 1G with 1x RJ45</t>
  </si>
  <si>
    <t>24-port Cat6 patch panel</t>
  </si>
  <si>
    <t>Travel to Site</t>
  </si>
  <si>
    <t>How much does getting to the job cost you?</t>
  </si>
  <si>
    <t xml:space="preserve">  THE JOB</t>
  </si>
  <si>
    <t>Site postcode</t>
  </si>
  <si>
    <t>One-way miles to site</t>
  </si>
  <si>
    <t>Working days on this job</t>
  </si>
  <si>
    <t>How many trips per day?</t>
  </si>
  <si>
    <t>Who's travelling? (1 if alone)</t>
  </si>
  <si>
    <t>Working days are auto-calculated. Type a number in the cell above to override.</t>
  </si>
  <si>
    <t xml:space="preserve">  WHAT IT COSTS YOU</t>
  </si>
  <si>
    <t>Total miles for the job</t>
  </si>
  <si>
    <t>Mileage cost</t>
  </si>
  <si>
    <t>Time spent driving (hours)</t>
  </si>
  <si>
    <t>Cost of that driving time</t>
  </si>
  <si>
    <t>TOTAL TRAVEL COST</t>
  </si>
  <si>
    <t>This total flows automatically into the Pricing Sheet.</t>
  </si>
  <si>
    <t>Accommodation</t>
  </si>
  <si>
    <t>Use this when the job needs staying away overnight.</t>
  </si>
  <si>
    <t xml:space="preserve">  STAY DETAILS</t>
  </si>
  <si>
    <t>Nights away on this job</t>
  </si>
  <si>
    <t>How many people staying?</t>
  </si>
  <si>
    <t>£ per night per person</t>
  </si>
  <si>
    <t>Food allowance per person per day</t>
  </si>
  <si>
    <t>Days on site (from Travel tab)</t>
  </si>
  <si>
    <t>Accommodation cost</t>
  </si>
  <si>
    <t>Food cost</t>
  </si>
  <si>
    <t>Evening parking cost</t>
  </si>
  <si>
    <t>TOTAL ACCOMMODATION</t>
  </si>
  <si>
    <t>Pricing Sheet</t>
  </si>
  <si>
    <t>Group the work into sections (First fix, Second fix, etc.), then add line items.</t>
  </si>
  <si>
    <t xml:space="preserve">  JOB DETAILS</t>
  </si>
  <si>
    <t>Project reference</t>
  </si>
  <si>
    <t>Client name</t>
  </si>
  <si>
    <t>Site address</t>
  </si>
  <si>
    <t>Quote date</t>
  </si>
  <si>
    <t>Prepared by</t>
  </si>
  <si>
    <t xml:space="preserve">  YOUR JOB SECTIONS — name the parts of work the client will see on the quote</t>
  </si>
  <si>
    <t>Examples: First fix, Second fix, Testing &amp; Cert, Containment, EV charger install. Leave blank if you don't need that many.</t>
  </si>
  <si>
    <t>#</t>
  </si>
  <si>
    <t>Section name (this appears on the Client Quote)</t>
  </si>
  <si>
    <t>First fix</t>
  </si>
  <si>
    <t>Second fix</t>
  </si>
  <si>
    <t>Testing &amp; cert</t>
  </si>
  <si>
    <t xml:space="preserve">  WORK ITEMS</t>
  </si>
  <si>
    <t>Section</t>
  </si>
  <si>
    <t>Qty</t>
  </si>
  <si>
    <t>Mat £/u</t>
  </si>
  <si>
    <t>Mat total</t>
  </si>
  <si>
    <t>Lab hrs</t>
  </si>
  <si>
    <t>Lab £/hr</t>
  </si>
  <si>
    <t>Line total</t>
  </si>
  <si>
    <t>Subtotal — work items</t>
  </si>
  <si>
    <t xml:space="preserve">  ADDITIONAL COSTS</t>
  </si>
  <si>
    <t>Item</t>
  </si>
  <si>
    <t>Amount</t>
  </si>
  <si>
    <t>Travel to site (from Travel tab)</t>
  </si>
  <si>
    <t>Accommodation &amp; food (from Accommodation tab)</t>
  </si>
  <si>
    <t>Daily site costs (your daily cost × days on site)</t>
  </si>
  <si>
    <t>Subcontractor net cost (type in)</t>
  </si>
  <si>
    <t>Subcontractor markup (from Setup)</t>
  </si>
  <si>
    <t>Provisional sums / other (type in)</t>
  </si>
  <si>
    <t xml:space="preserve">  PRICE BUILD-UP</t>
  </si>
  <si>
    <t>Direct cost of work</t>
  </si>
  <si>
    <t>Contingency</t>
  </si>
  <si>
    <t>Overhead recovery</t>
  </si>
  <si>
    <t>Total cost to you</t>
  </si>
  <si>
    <t>Net margin</t>
  </si>
  <si>
    <t>Net quote (excluding VAT)</t>
  </si>
  <si>
    <t>VAT @</t>
  </si>
  <si>
    <t>TOTAL QUOTE</t>
  </si>
  <si>
    <t xml:space="preserve">  LIVE MARGIN DASHBOARD</t>
  </si>
  <si>
    <t>Net quote (ex VAT)</t>
  </si>
  <si>
    <t>£ margin</t>
  </si>
  <si>
    <t>% margin</t>
  </si>
  <si>
    <t>Days on site</t>
  </si>
  <si>
    <t>£ margin per day on site</t>
  </si>
  <si>
    <t>Exclusions &amp; Qualifications</t>
  </si>
  <si>
    <t>Tick what is NOT in your price. Ticked items appear on the Client Quote.</t>
  </si>
  <si>
    <t>Tip: most jobs go wrong because of what wasn't excluded in writing.</t>
  </si>
  <si>
    <t xml:space="preserve">  TICK TO EXCLUDE</t>
  </si>
  <si>
    <t>Builder's work — chasing, lifting and re-laying floor finishes</t>
  </si>
  <si>
    <t>Making good of plaster, paintwork or decoration</t>
  </si>
  <si>
    <t>Lifting and re-laying carpets, laminate, vinyl or tiled flooring</t>
  </si>
  <si>
    <t>Removal, alteration or refixing of fitted furniture</t>
  </si>
  <si>
    <t>Working at height above 2m (scaffold, MEWP or tower hire excluded)</t>
  </si>
  <si>
    <t>Asbestos survey, removal or encapsulation</t>
  </si>
  <si>
    <t>Temporary electrical supply or generator hire</t>
  </si>
  <si>
    <t>Temporary lighting for other trades</t>
  </si>
  <si>
    <t>Out-of-hours, weekend or bank holiday working</t>
  </si>
  <si>
    <t>Permits, licences or local authority fees</t>
  </si>
  <si>
    <t>Parking permits, suspensions or congestion charges</t>
  </si>
  <si>
    <t>Welfare facilities (assumed provided by main contractor or client)</t>
  </si>
  <si>
    <t>Skip hire or waste removal of non-electrical materials</t>
  </si>
  <si>
    <t>Disposal of fluorescent tubes or hazardous waste</t>
  </si>
  <si>
    <t>Statutory testing or commissioning beyond standard EICR</t>
  </si>
  <si>
    <t>Third-party witnessing, inspection or sign-off fees</t>
  </si>
  <si>
    <t>Builder's clean or final clean of working areas</t>
  </si>
  <si>
    <t>Programme acceleration or out-of-sequence working</t>
  </si>
  <si>
    <t>Standing time caused by other trades or delayed access</t>
  </si>
  <si>
    <t>Specialist commissioning (BMS, fire alarm cause-and-effect, etc.)</t>
  </si>
  <si>
    <t>Builders' attendance: power, lighting, hoisting, scaffolding</t>
  </si>
  <si>
    <t>Design, drawings, schematics or CAD work</t>
  </si>
  <si>
    <t>Builder's openings or holes through structural elements</t>
  </si>
  <si>
    <t>Fire stopping of penetrations through compartments</t>
  </si>
  <si>
    <t>Containment, brackets or fixings not specified in the scope</t>
  </si>
  <si>
    <t>Earthing or bonding beyond immediate scope</t>
  </si>
  <si>
    <t>Smart-home programming, app setup or user training</t>
  </si>
  <si>
    <t>Network configuration or commissioning of IT equipment</t>
  </si>
  <si>
    <t>Anything not expressly listed in the scope of works</t>
  </si>
  <si>
    <t xml:space="preserve">  ADD YOUR OWN</t>
  </si>
  <si>
    <t xml:space="preserve">  HOW TO SEND THIS TO YOUR CLIENT</t>
  </si>
  <si>
    <t>Save just this tab as a PDF — not the whole workbook.</t>
  </si>
  <si>
    <t>1.</t>
  </si>
  <si>
    <t>Make sure you're on this tab.</t>
  </si>
  <si>
    <t>2.</t>
  </si>
  <si>
    <t>File → Save As (or Export on Mac).</t>
  </si>
  <si>
    <t>QUOTATION</t>
  </si>
  <si>
    <t>3.</t>
  </si>
  <si>
    <t>Name the file: 'Quote — [your ref].pdf'.</t>
  </si>
  <si>
    <t>4.</t>
  </si>
  <si>
    <t>Set file type to PDF.</t>
  </si>
  <si>
    <t>To:</t>
  </si>
  <si>
    <t>Quote ref:</t>
  </si>
  <si>
    <t>5.</t>
  </si>
  <si>
    <t>Click 'Options' or 'Show Details'.</t>
  </si>
  <si>
    <t>Site:</t>
  </si>
  <si>
    <t>Date:</t>
  </si>
  <si>
    <t>6.</t>
  </si>
  <si>
    <t>Tick 'Active Sheet(s)' — not 'Workbook'.</t>
  </si>
  <si>
    <t>Prepared by:</t>
  </si>
  <si>
    <t>Valid for:</t>
  </si>
  <si>
    <t>7.</t>
  </si>
  <si>
    <t>Save. Email the PDF to your client.</t>
  </si>
  <si>
    <t xml:space="preserve">  PRICE SUMMARY</t>
  </si>
  <si>
    <t>⚠  IMPORTANT</t>
  </si>
  <si>
    <t>If you save the whole workbook, your client</t>
  </si>
  <si>
    <t>sees your costs and margin. Only this tab.</t>
  </si>
  <si>
    <t>💡  TIP</t>
  </si>
  <si>
    <t>Match the PDF filename to your project ref.</t>
  </si>
  <si>
    <t>NET QUOTE (excluding VAT)</t>
  </si>
  <si>
    <t>VAT (if applicable)</t>
  </si>
  <si>
    <t>TOTAL DUE</t>
  </si>
  <si>
    <t>The above price includes all travel, site running costs, and management.</t>
  </si>
  <si>
    <t xml:space="preserve">  EXCLUSIONS &amp; QUALIFICATIONS</t>
  </si>
  <si>
    <t>This price specifically excludes:</t>
  </si>
  <si>
    <t xml:space="preserve">  TERMS</t>
  </si>
  <si>
    <t>This quotation is valid for the days shown above. Acceptance forms a contract subject to the exclusions above.</t>
  </si>
  <si>
    <t>Quote produced with The Estimator</t>
  </si>
  <si>
    <t>15 checks before every send. Run the list.</t>
  </si>
  <si>
    <t xml:space="preserve">  CHECK BEFORE YOU SEND</t>
  </si>
  <si>
    <t>☐</t>
  </si>
  <si>
    <t>1.  Travel time included BOTH ways for every working day?</t>
  </si>
  <si>
    <t>2.  Enough labour hours, or have you been optimistic again?</t>
  </si>
  <si>
    <t>3.  Materials prices from this week, not last year?</t>
  </si>
  <si>
    <t>4.  Daily site costs (van, tools, welfare) per day included?</t>
  </si>
  <si>
    <t>5.  If staying away — accommodation AND food both in?</t>
  </si>
  <si>
    <t>6.  Overhead recovery added? (Or are you running the business for free?)</t>
  </si>
  <si>
    <t>7.  Margin where it needs to be — not where you hope?</t>
  </si>
  <si>
    <t>8.  Testing, certification and notification fees priced?</t>
  </si>
  <si>
    <t>9.  Subcontractor markup added?</t>
  </si>
  <si>
    <t>10.  Contingency for things that always go wrong?</t>
  </si>
  <si>
    <t>11.  Builder's work clearly excluded?</t>
  </si>
  <si>
    <t>12.  Working hours stated? (You're not on site at 7am at standard rate.)</t>
  </si>
  <si>
    <t>13.  Payment terms on the quote, in writing?</t>
  </si>
  <si>
    <t>14.  Quote validity protecting you from price rises?</t>
  </si>
  <si>
    <t>15.  Re-read the scope — are you pricing what they actually asked for?</t>
  </si>
  <si>
    <t>A bad quote that wins is worse than a good quote that loses.</t>
  </si>
  <si>
    <t>Pre-Send Check Sheet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</si>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</sst>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£#,##0.00;[Red]&quot;(£&quot;#,##0.00\);\-"/>
    <numFmt numFmtId="165" formatCode="0.0%;[Red]\(0.0%\);\-"/>
    <numFmt numFmtId="166" formatCode="#,##0;[Red]\(#,##0\);\-"/>
    <numFmt numFmtId="167" formatCode="#,##0.00;[Red]\(#,##0.00\);\-"/>
    <numFmt numFmtId="168" formatCode="\£#,##0.00;&quot;(£&quot;#,##0.00\);&quot;&quot;"/>
  </numFmts>
  <fonts count="4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28"/>
      <color rgb="FF0A1F66"/>
      <name val="Neue Montreal"/>
    </font>
    <font>
      <sz val="10"/>
      <color rgb="FF8B92A8"/>
      <name val="Neue Montreal"/>
    </font>
    <font>
      <i/>
      <sz val="11"/>
      <color rgb="FF8B92A8"/>
      <name val="Neue Montreal"/>
    </font>
    <font>
      <b/>
      <sz val="13"/>
      <color rgb="FF0A1F66"/>
      <name val="Neue Montreal"/>
    </font>
    <font>
      <b/>
      <sz val="10"/>
      <color rgb="FF2B4FFF"/>
      <name val="Neue Montreal"/>
    </font>
    <font>
      <sz val="10"/>
      <color rgb="FF1A1F36"/>
      <name val="Neue Montreal"/>
    </font>
    <font>
      <b/>
      <sz val="11"/>
      <color rgb="FFFFFFFF"/>
      <name val="Neue Montreal"/>
    </font>
    <font>
      <b/>
      <sz val="10"/>
      <color rgb="FF0A1F66"/>
      <name val="Neue Montreal"/>
    </font>
    <font>
      <i/>
      <sz val="9"/>
      <color rgb="FF8B92A8"/>
      <name val="Neue Montreal"/>
    </font>
    <font>
      <b/>
      <sz val="10"/>
      <color rgb="FF1A1F36"/>
      <name val="Neue Montreal"/>
    </font>
    <font>
      <i/>
      <sz val="8"/>
      <color rgb="FF8B92A8"/>
      <name val="Neue Montreal"/>
    </font>
    <font>
      <b/>
      <sz val="18"/>
      <color rgb="FF0A1F66"/>
      <name val="Neue Montreal"/>
    </font>
    <font>
      <b/>
      <sz val="8"/>
      <color rgb="FF8B92A8"/>
      <name val="Neue Montreal"/>
    </font>
    <font>
      <sz val="8"/>
      <color rgb="FF8B92A8"/>
      <name val="Neue Montreal"/>
    </font>
    <font>
      <b/>
      <sz val="10"/>
      <color rgb="FFFFFFFF"/>
      <name val="Neue Montreal"/>
    </font>
    <font>
      <b/>
      <sz val="11"/>
      <color rgb="FF0A1F66"/>
      <name val="Neue Montreal"/>
    </font>
    <font>
      <b/>
      <sz val="9"/>
      <color rgb="FF8B92A8"/>
      <name val="Neue Montreal"/>
    </font>
    <font>
      <sz val="9"/>
      <color rgb="FF8B92A8"/>
      <name val="Neue Montreal"/>
    </font>
    <font>
      <b/>
      <sz val="12"/>
      <color rgb="FFFFFFFF"/>
      <name val="Neue Montreal"/>
    </font>
    <font>
      <b/>
      <sz val="14"/>
      <color rgb="FFFFFFFF"/>
      <name val="Neue Montreal"/>
    </font>
    <font>
      <i/>
      <sz val="10"/>
      <color rgb="FF8B92A8"/>
      <name val="Neue Montreal"/>
    </font>
    <font>
      <b/>
      <sz val="9"/>
      <color rgb="FFFFFFFF"/>
      <name val="Neue Montreal"/>
    </font>
    <font>
      <sz val="10"/>
      <color rgb="FF0A1F66"/>
      <name val="Neue Montreal"/>
    </font>
    <font>
      <b/>
      <sz val="10"/>
      <color rgb="FF006400"/>
      <name val="Neue Montreal"/>
    </font>
    <font>
      <b/>
      <sz val="16"/>
      <color rgb="FFFFFFFF"/>
      <name val="Neue Montreal"/>
    </font>
    <font>
      <b/>
      <sz val="16"/>
      <color rgb="FF0A1F66"/>
      <name val="Neue Montreal"/>
    </font>
    <font>
      <b/>
      <sz val="13"/>
      <color rgb="FF2B4FFF"/>
      <name val="Neue Montreal"/>
    </font>
    <font>
      <b/>
      <sz val="22"/>
      <color rgb="FF0A1F66"/>
      <name val="Neue Montreal"/>
    </font>
    <font>
      <b/>
      <sz val="20"/>
      <color rgb="FF0A1F66"/>
      <name val="Neue Montreal"/>
    </font>
    <font>
      <b/>
      <sz val="10"/>
      <color rgb="FF721C24"/>
      <name val="Neue Montreal"/>
    </font>
    <font>
      <sz val="9"/>
      <color rgb="FF721C24"/>
      <name val="Neue Montreal"/>
    </font>
    <font>
      <sz val="9"/>
      <color rgb="FF0A1F66"/>
      <name val="Neue Montreal"/>
    </font>
    <font>
      <b/>
      <sz val="13"/>
      <color rgb="FFFFFFFF"/>
      <name val="Neue Montreal"/>
    </font>
    <font>
      <sz val="9"/>
      <color rgb="FF1A1F36"/>
      <name val="Neue Montreal"/>
    </font>
    <font>
      <b/>
      <sz val="14"/>
      <color rgb="FF2B4FFF"/>
      <name val="Neue Montreal"/>
    </font>
    <font>
      <sz val="11"/>
      <color rgb="FF1A1F36"/>
      <name val="Neue Montreal"/>
    </font>
    <font>
      <b/>
      <i/>
      <sz val="10"/>
      <color rgb="FF0A1F66"/>
      <name val="Neue Montreal"/>
    </font>
    <font>
      <sz val="10"/>
      <color rgb="FF000000"/>
      <name val="Arial"/>
      <family val="2"/>
    </font>
    <font>
      <sz val="10"/>
      <color rgb="FF2B4FFF"/>
      <name val="Neue Montreal"/>
    </font>
  </fonts>
  <fills count="9">
    <fill>
      <patternFill patternType="none"/>
    </fill>
    <fill>
      <patternFill patternType="gray125"/>
    </fill>
    <fill>
      <patternFill patternType="solid">
        <fgColor rgb="FF2B4FFF"/>
        <bgColor rgb="FF0066CC"/>
      </patternFill>
    </fill>
    <fill>
      <patternFill patternType="solid">
        <fgColor rgb="FF0A1F66"/>
        <bgColor rgb="FF1A1F36"/>
      </patternFill>
    </fill>
    <fill>
      <patternFill patternType="solid">
        <fgColor rgb="FFF7F8FB"/>
        <bgColor rgb="FFFFFFFF"/>
      </patternFill>
    </fill>
    <fill>
      <patternFill patternType="solid">
        <fgColor rgb="FFEEF1FF"/>
        <bgColor rgb="FFF7F8FB"/>
      </patternFill>
    </fill>
    <fill>
      <patternFill patternType="solid">
        <fgColor rgb="FFFFFFFF"/>
        <bgColor rgb="FFF7F8FB"/>
      </patternFill>
    </fill>
    <fill>
      <patternFill patternType="solid">
        <fgColor rgb="FFFFF4CC"/>
        <bgColor rgb="FFFFF3CD"/>
      </patternFill>
    </fill>
    <fill>
      <patternFill patternType="solid">
        <fgColor rgb="FFF8D7DA"/>
        <bgColor rgb="FFE2E5F0"/>
      </patternFill>
    </fill>
  </fills>
  <borders count="19">
    <border>
      <left/>
      <right/>
      <top/>
      <bottom/>
      <diagonal/>
    </border>
    <border>
      <left style="medium">
        <color rgb="FF0A1F66"/>
      </left>
      <right/>
      <top style="medium">
        <color rgb="FF0A1F66"/>
      </top>
      <bottom/>
      <diagonal/>
    </border>
    <border>
      <left/>
      <right/>
      <top style="medium">
        <color rgb="FF0A1F66"/>
      </top>
      <bottom/>
      <diagonal/>
    </border>
    <border>
      <left/>
      <right style="medium">
        <color rgb="FF0A1F66"/>
      </right>
      <top style="medium">
        <color rgb="FF0A1F66"/>
      </top>
      <bottom/>
      <diagonal/>
    </border>
    <border>
      <left style="medium">
        <color rgb="FF0A1F66"/>
      </left>
      <right/>
      <top/>
      <bottom/>
      <diagonal/>
    </border>
    <border>
      <left/>
      <right style="medium">
        <color rgb="FF0A1F66"/>
      </right>
      <top/>
      <bottom/>
      <diagonal/>
    </border>
    <border>
      <left style="medium">
        <color rgb="FF0A1F66"/>
      </left>
      <right style="medium">
        <color rgb="FF0A1F66"/>
      </right>
      <top/>
      <bottom/>
      <diagonal/>
    </border>
    <border>
      <left style="medium">
        <color rgb="FF0A1F66"/>
      </left>
      <right style="medium">
        <color rgb="FF0A1F66"/>
      </right>
      <top style="thin">
        <color rgb="FF0A1F66"/>
      </top>
      <bottom style="thin">
        <color rgb="FF0A1F66"/>
      </bottom>
      <diagonal/>
    </border>
    <border>
      <left style="medium">
        <color rgb="FF0A1F66"/>
      </left>
      <right style="thin">
        <color rgb="FFE2E5F0"/>
      </right>
      <top style="thin">
        <color rgb="FFE2E5F0"/>
      </top>
      <bottom style="thin">
        <color rgb="FFE2E5F0"/>
      </bottom>
      <diagonal/>
    </border>
    <border>
      <left style="thin">
        <color rgb="FFE2E5F0"/>
      </left>
      <right style="medium">
        <color rgb="FF0A1F66"/>
      </right>
      <top style="thin">
        <color rgb="FFE2E5F0"/>
      </top>
      <bottom style="thin">
        <color rgb="FFE2E5F0"/>
      </bottom>
      <diagonal/>
    </border>
    <border>
      <left style="medium">
        <color rgb="FF0A1F66"/>
      </left>
      <right style="medium">
        <color rgb="FF0A1F66"/>
      </right>
      <top/>
      <bottom style="medium">
        <color rgb="FF0A1F66"/>
      </bottom>
      <diagonal/>
    </border>
    <border>
      <left style="thin">
        <color rgb="FFE2E5F0"/>
      </left>
      <right style="thin">
        <color rgb="FFE2E5F0"/>
      </right>
      <top style="thin">
        <color rgb="FFE2E5F0"/>
      </top>
      <bottom style="thin">
        <color rgb="FFE2E5F0"/>
      </bottom>
      <diagonal/>
    </border>
    <border>
      <left style="medium">
        <color rgb="FF0A1F66"/>
      </left>
      <right/>
      <top/>
      <bottom style="medium">
        <color rgb="FF0A1F66"/>
      </bottom>
      <diagonal/>
    </border>
    <border>
      <left/>
      <right/>
      <top/>
      <bottom style="medium">
        <color rgb="FF0A1F66"/>
      </bottom>
      <diagonal/>
    </border>
    <border>
      <left/>
      <right style="medium">
        <color rgb="FF0A1F66"/>
      </right>
      <top/>
      <bottom style="medium">
        <color rgb="FF0A1F66"/>
      </bottom>
      <diagonal/>
    </border>
    <border>
      <left style="medium">
        <color rgb="FF0A1F66"/>
      </left>
      <right style="thin">
        <color rgb="FF0A1F66"/>
      </right>
      <top style="thin">
        <color rgb="FF0A1F66"/>
      </top>
      <bottom style="thin">
        <color rgb="FF0A1F66"/>
      </bottom>
      <diagonal/>
    </border>
    <border>
      <left style="thin">
        <color rgb="FF0A1F66"/>
      </left>
      <right style="thin">
        <color rgb="FF0A1F66"/>
      </right>
      <top style="thin">
        <color rgb="FF0A1F66"/>
      </top>
      <bottom style="thin">
        <color rgb="FF0A1F66"/>
      </bottom>
      <diagonal/>
    </border>
    <border>
      <left style="thin">
        <color rgb="FF0A1F66"/>
      </left>
      <right style="medium">
        <color rgb="FF0A1F66"/>
      </right>
      <top style="medium">
        <color rgb="FF0A1F66"/>
      </top>
      <bottom style="thin">
        <color rgb="FF0A1F66"/>
      </bottom>
      <diagonal/>
    </border>
    <border>
      <left style="thin">
        <color rgb="FFDC3545"/>
      </left>
      <right style="medium">
        <color rgb="FF0A1F66"/>
      </right>
      <top style="thin">
        <color rgb="FFDC3545"/>
      </top>
      <bottom style="thin">
        <color rgb="FFDC3545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5" borderId="11" xfId="0" applyFill="1" applyBorder="1"/>
    <xf numFmtId="0" fontId="15" fillId="0" borderId="5" xfId="0" applyFont="1" applyBorder="1" applyAlignment="1">
      <alignment horizontal="left" vertical="center" indent="1"/>
    </xf>
    <xf numFmtId="0" fontId="0" fillId="6" borderId="11" xfId="0" applyFill="1" applyBorder="1"/>
    <xf numFmtId="0" fontId="0" fillId="7" borderId="11" xfId="0" applyFill="1" applyBorder="1"/>
    <xf numFmtId="0" fontId="7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164" fontId="9" fillId="5" borderId="11" xfId="0" applyNumberFormat="1" applyFont="1" applyFill="1" applyBorder="1" applyAlignment="1">
      <alignment horizontal="right" vertical="center"/>
    </xf>
    <xf numFmtId="165" fontId="9" fillId="5" borderId="11" xfId="0" applyNumberFormat="1" applyFont="1" applyFill="1" applyBorder="1" applyAlignment="1">
      <alignment horizontal="right" vertical="center"/>
    </xf>
    <xf numFmtId="166" fontId="9" fillId="5" borderId="11" xfId="0" applyNumberFormat="1" applyFont="1" applyFill="1" applyBorder="1" applyAlignment="1">
      <alignment horizontal="right" vertical="center"/>
    </xf>
    <xf numFmtId="0" fontId="11" fillId="0" borderId="4" xfId="0" applyFont="1" applyBorder="1" applyAlignment="1">
      <alignment horizontal="left" vertical="center" wrapText="1"/>
    </xf>
    <xf numFmtId="164" fontId="17" fillId="7" borderId="11" xfId="0" applyNumberFormat="1" applyFont="1" applyFill="1" applyBorder="1" applyAlignment="1">
      <alignment horizontal="right" vertical="center"/>
    </xf>
    <xf numFmtId="0" fontId="0" fillId="0" borderId="13" xfId="0" applyBorder="1"/>
    <xf numFmtId="0" fontId="0" fillId="0" borderId="14" xfId="0" applyBorder="1"/>
    <xf numFmtId="0" fontId="18" fillId="0" borderId="4" xfId="0" applyFont="1" applyBorder="1" applyAlignment="1">
      <alignment horizontal="left" vertical="center" wrapText="1"/>
    </xf>
    <xf numFmtId="14" fontId="9" fillId="5" borderId="11" xfId="0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166" fontId="11" fillId="0" borderId="11" xfId="0" applyNumberFormat="1" applyFont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164" fontId="11" fillId="0" borderId="11" xfId="0" applyNumberFormat="1" applyFont="1" applyBorder="1" applyAlignment="1">
      <alignment horizontal="right" vertical="center"/>
    </xf>
    <xf numFmtId="0" fontId="19" fillId="0" borderId="11" xfId="0" applyFont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11" xfId="0" applyFont="1" applyFill="1" applyBorder="1" applyAlignment="1">
      <alignment horizontal="left" vertical="center" wrapText="1"/>
    </xf>
    <xf numFmtId="0" fontId="7" fillId="4" borderId="11" xfId="0" applyFont="1" applyFill="1" applyBorder="1" applyAlignment="1">
      <alignment horizontal="center" vertical="center" wrapText="1"/>
    </xf>
    <xf numFmtId="164" fontId="11" fillId="4" borderId="11" xfId="0" applyNumberFormat="1" applyFont="1" applyFill="1" applyBorder="1" applyAlignment="1">
      <alignment horizontal="right" vertical="center"/>
    </xf>
    <xf numFmtId="0" fontId="19" fillId="4" borderId="11" xfId="0" applyFont="1" applyFill="1" applyBorder="1" applyAlignment="1">
      <alignment horizontal="center" vertical="center" wrapText="1"/>
    </xf>
    <xf numFmtId="164" fontId="7" fillId="5" borderId="11" xfId="0" applyNumberFormat="1" applyFont="1" applyFill="1" applyBorder="1" applyAlignment="1">
      <alignment horizontal="right" vertical="center"/>
    </xf>
    <xf numFmtId="165" fontId="7" fillId="5" borderId="11" xfId="0" applyNumberFormat="1" applyFont="1" applyFill="1" applyBorder="1" applyAlignment="1">
      <alignment horizontal="right" vertical="center"/>
    </xf>
    <xf numFmtId="0" fontId="0" fillId="0" borderId="12" xfId="0" applyBorder="1"/>
    <xf numFmtId="0" fontId="3" fillId="4" borderId="11" xfId="0" applyFont="1" applyFill="1" applyBorder="1" applyAlignment="1">
      <alignment horizontal="left" vertical="center" wrapText="1"/>
    </xf>
    <xf numFmtId="0" fontId="7" fillId="0" borderId="4" xfId="0" applyFont="1" applyBorder="1"/>
    <xf numFmtId="166" fontId="11" fillId="0" borderId="11" xfId="0" applyNumberFormat="1" applyFont="1" applyBorder="1" applyAlignment="1">
      <alignment horizontal="right" vertical="center"/>
    </xf>
    <xf numFmtId="167" fontId="11" fillId="0" borderId="11" xfId="0" applyNumberFormat="1" applyFont="1" applyBorder="1" applyAlignment="1">
      <alignment horizontal="right" vertical="center"/>
    </xf>
    <xf numFmtId="0" fontId="20" fillId="3" borderId="4" xfId="0" applyFont="1" applyFill="1" applyBorder="1" applyAlignment="1">
      <alignment horizontal="left" vertical="center" indent="1"/>
    </xf>
    <xf numFmtId="164" fontId="21" fillId="3" borderId="0" xfId="0" applyNumberFormat="1" applyFont="1" applyFill="1" applyAlignment="1">
      <alignment horizontal="right" vertical="center"/>
    </xf>
    <xf numFmtId="166" fontId="22" fillId="4" borderId="11" xfId="0" applyNumberFormat="1" applyFont="1" applyFill="1" applyBorder="1" applyAlignment="1">
      <alignment horizontal="right" vertical="center"/>
    </xf>
    <xf numFmtId="0" fontId="23" fillId="3" borderId="15" xfId="0" applyFont="1" applyFill="1" applyBorder="1" applyAlignment="1">
      <alignment horizontal="center" vertical="center" wrapText="1"/>
    </xf>
    <xf numFmtId="0" fontId="23" fillId="3" borderId="16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23" fillId="3" borderId="8" xfId="0" applyFont="1" applyFill="1" applyBorder="1" applyAlignment="1">
      <alignment horizontal="center" vertical="center" wrapText="1"/>
    </xf>
    <xf numFmtId="0" fontId="23" fillId="3" borderId="11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24" fillId="5" borderId="11" xfId="0" applyFont="1" applyFill="1" applyBorder="1" applyAlignment="1">
      <alignment horizontal="left" vertical="center" wrapText="1"/>
    </xf>
    <xf numFmtId="167" fontId="24" fillId="5" borderId="11" xfId="0" applyNumberFormat="1" applyFont="1" applyFill="1" applyBorder="1" applyAlignment="1">
      <alignment horizontal="right" vertical="center"/>
    </xf>
    <xf numFmtId="164" fontId="24" fillId="5" borderId="11" xfId="0" applyNumberFormat="1" applyFont="1" applyFill="1" applyBorder="1" applyAlignment="1">
      <alignment horizontal="right" vertical="center"/>
    </xf>
    <xf numFmtId="0" fontId="19" fillId="4" borderId="4" xfId="0" applyFont="1" applyFill="1" applyBorder="1" applyAlignment="1">
      <alignment horizontal="center" vertical="center" wrapText="1"/>
    </xf>
    <xf numFmtId="164" fontId="17" fillId="5" borderId="11" xfId="0" applyNumberFormat="1" applyFont="1" applyFill="1" applyBorder="1" applyAlignment="1">
      <alignment horizontal="right" vertical="center"/>
    </xf>
    <xf numFmtId="164" fontId="25" fillId="0" borderId="11" xfId="0" applyNumberFormat="1" applyFont="1" applyBorder="1" applyAlignment="1">
      <alignment horizontal="right" vertical="center"/>
    </xf>
    <xf numFmtId="165" fontId="7" fillId="0" borderId="11" xfId="0" applyNumberFormat="1" applyFont="1" applyBorder="1" applyAlignment="1">
      <alignment horizontal="right" vertical="center"/>
    </xf>
    <xf numFmtId="164" fontId="7" fillId="0" borderId="11" xfId="0" applyNumberFormat="1" applyFont="1" applyBorder="1" applyAlignment="1">
      <alignment horizontal="right" vertical="center"/>
    </xf>
    <xf numFmtId="165" fontId="7" fillId="7" borderId="11" xfId="0" applyNumberFormat="1" applyFont="1" applyFill="1" applyBorder="1" applyAlignment="1">
      <alignment horizontal="right" vertical="center"/>
    </xf>
    <xf numFmtId="164" fontId="21" fillId="2" borderId="0" xfId="0" applyNumberFormat="1" applyFont="1" applyFill="1" applyAlignment="1">
      <alignment horizontal="right" vertical="center"/>
    </xf>
    <xf numFmtId="164" fontId="26" fillId="3" borderId="0" xfId="0" applyNumberFormat="1" applyFont="1" applyFill="1" applyAlignment="1">
      <alignment horizontal="right" vertical="center"/>
    </xf>
    <xf numFmtId="0" fontId="28" fillId="5" borderId="8" xfId="0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11" fillId="0" borderId="4" xfId="0" applyFont="1" applyBorder="1"/>
    <xf numFmtId="0" fontId="9" fillId="0" borderId="0" xfId="0" applyFont="1"/>
    <xf numFmtId="0" fontId="11" fillId="0" borderId="0" xfId="0" applyFont="1" applyAlignment="1">
      <alignment horizontal="right" vertical="center"/>
    </xf>
    <xf numFmtId="0" fontId="24" fillId="0" borderId="0" xfId="0" applyFont="1"/>
    <xf numFmtId="14" fontId="24" fillId="0" borderId="0" xfId="0" applyNumberFormat="1" applyFont="1"/>
    <xf numFmtId="168" fontId="11" fillId="0" borderId="11" xfId="0" applyNumberFormat="1" applyFont="1" applyBorder="1" applyAlignment="1">
      <alignment horizontal="right" vertical="center"/>
    </xf>
    <xf numFmtId="164" fontId="34" fillId="2" borderId="0" xfId="0" applyNumberFormat="1" applyFont="1" applyFill="1" applyAlignment="1">
      <alignment horizontal="right" vertical="center"/>
    </xf>
    <xf numFmtId="168" fontId="7" fillId="0" borderId="11" xfId="0" applyNumberFormat="1" applyFont="1" applyBorder="1" applyAlignment="1">
      <alignment horizontal="right" vertical="center"/>
    </xf>
    <xf numFmtId="0" fontId="36" fillId="0" borderId="8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5" borderId="11" xfId="0" applyFill="1" applyBorder="1" applyAlignment="1">
      <alignment vertical="center"/>
    </xf>
    <xf numFmtId="0" fontId="15" fillId="0" borderId="5" xfId="0" applyFont="1" applyBorder="1" applyAlignment="1">
      <alignment horizontal="left" vertical="center"/>
    </xf>
    <xf numFmtId="0" fontId="0" fillId="2" borderId="4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6" borderId="11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7" borderId="11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11" fillId="0" borderId="0" xfId="0" applyFont="1" applyAlignment="1">
      <alignment vertical="center"/>
    </xf>
    <xf numFmtId="0" fontId="0" fillId="6" borderId="8" xfId="0" applyFill="1" applyBorder="1" applyAlignment="1">
      <alignment vertical="center"/>
    </xf>
    <xf numFmtId="0" fontId="0" fillId="7" borderId="8" xfId="0" applyFill="1" applyBorder="1" applyAlignment="1">
      <alignment vertical="center"/>
    </xf>
    <xf numFmtId="0" fontId="40" fillId="4" borderId="8" xfId="0" applyFont="1" applyFill="1" applyBorder="1" applyAlignment="1">
      <alignment horizontal="left" vertical="center" wrapText="1"/>
    </xf>
    <xf numFmtId="0" fontId="40" fillId="0" borderId="4" xfId="0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15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2" borderId="4" xfId="0" applyFont="1" applyFill="1" applyBorder="1" applyAlignment="1">
      <alignment horizontal="left" vertical="center" indent="1"/>
    </xf>
    <xf numFmtId="0" fontId="10" fillId="0" borderId="12" xfId="0" applyFont="1" applyBorder="1"/>
    <xf numFmtId="0" fontId="13" fillId="0" borderId="1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0" fontId="16" fillId="3" borderId="4" xfId="0" applyFont="1" applyFill="1" applyBorder="1" applyAlignment="1">
      <alignment horizontal="left" vertical="center" indent="1"/>
    </xf>
    <xf numFmtId="0" fontId="10" fillId="0" borderId="4" xfId="0" applyFont="1" applyBorder="1" applyAlignment="1">
      <alignment horizontal="left" vertical="center" indent="1"/>
    </xf>
    <xf numFmtId="0" fontId="3" fillId="0" borderId="5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2" fillId="0" borderId="10" xfId="0" applyFont="1" applyBorder="1" applyAlignment="1">
      <alignment horizontal="center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8" fillId="3" borderId="7" xfId="0" applyFont="1" applyFill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12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6" fillId="3" borderId="0" xfId="0" applyFont="1" applyFill="1" applyAlignment="1">
      <alignment horizontal="left" vertical="center"/>
    </xf>
    <xf numFmtId="0" fontId="16" fillId="3" borderId="4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6" fillId="3" borderId="15" xfId="0" applyFont="1" applyFill="1" applyBorder="1" applyAlignment="1">
      <alignment horizontal="left" vertical="center"/>
    </xf>
    <xf numFmtId="0" fontId="19" fillId="0" borderId="4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165" fontId="27" fillId="0" borderId="4" xfId="0" applyNumberFormat="1" applyFont="1" applyBorder="1" applyAlignment="1">
      <alignment horizontal="left" vertical="center" wrapText="1"/>
    </xf>
    <xf numFmtId="166" fontId="27" fillId="0" borderId="0" xfId="0" applyNumberFormat="1" applyFont="1" applyAlignment="1">
      <alignment horizontal="left" vertical="center" wrapText="1"/>
    </xf>
    <xf numFmtId="164" fontId="27" fillId="0" borderId="0" xfId="0" applyNumberFormat="1" applyFont="1" applyAlignment="1">
      <alignment horizontal="left" vertical="center" wrapText="1"/>
    </xf>
    <xf numFmtId="164" fontId="27" fillId="0" borderId="4" xfId="0" applyNumberFormat="1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20" fillId="2" borderId="4" xfId="0" applyFont="1" applyFill="1" applyBorder="1" applyAlignment="1">
      <alignment horizontal="left" vertical="center" indent="1"/>
    </xf>
    <xf numFmtId="0" fontId="21" fillId="3" borderId="4" xfId="0" applyFont="1" applyFill="1" applyBorder="1" applyAlignment="1">
      <alignment horizontal="left" vertical="center" indent="1"/>
    </xf>
    <xf numFmtId="0" fontId="22" fillId="0" borderId="4" xfId="0" applyFont="1" applyBorder="1" applyAlignment="1">
      <alignment horizontal="left" vertical="center" indent="1"/>
    </xf>
    <xf numFmtId="0" fontId="9" fillId="5" borderId="11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right" vertical="center" indent="1"/>
    </xf>
    <xf numFmtId="0" fontId="23" fillId="3" borderId="15" xfId="0" applyFont="1" applyFill="1" applyBorder="1" applyAlignment="1">
      <alignment horizontal="left" vertical="center" indent="1"/>
    </xf>
    <xf numFmtId="0" fontId="23" fillId="3" borderId="16" xfId="0" applyFont="1" applyFill="1" applyBorder="1" applyAlignment="1">
      <alignment horizontal="center" vertical="center" wrapText="1"/>
    </xf>
    <xf numFmtId="14" fontId="9" fillId="5" borderId="11" xfId="0" applyNumberFormat="1" applyFont="1" applyFill="1" applyBorder="1" applyAlignment="1">
      <alignment horizontal="left" vertical="center" wrapText="1"/>
    </xf>
    <xf numFmtId="0" fontId="10" fillId="0" borderId="4" xfId="0" applyFont="1" applyBorder="1"/>
    <xf numFmtId="0" fontId="38" fillId="0" borderId="1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top" wrapText="1"/>
    </xf>
    <xf numFmtId="0" fontId="12" fillId="0" borderId="13" xfId="0" applyFont="1" applyBorder="1" applyAlignment="1">
      <alignment horizontal="left" vertical="center"/>
    </xf>
    <xf numFmtId="0" fontId="35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indent="1"/>
    </xf>
    <xf numFmtId="0" fontId="9" fillId="5" borderId="9" xfId="0" applyFont="1" applyFill="1" applyBorder="1" applyAlignment="1">
      <alignment horizontal="left" vertical="center" indent="1"/>
    </xf>
    <xf numFmtId="0" fontId="33" fillId="5" borderId="9" xfId="0" applyFont="1" applyFill="1" applyBorder="1" applyAlignment="1">
      <alignment horizontal="left" vertical="center" indent="1"/>
    </xf>
    <xf numFmtId="0" fontId="32" fillId="8" borderId="18" xfId="0" applyFont="1" applyFill="1" applyBorder="1" applyAlignment="1">
      <alignment horizontal="left" vertical="center" indent="1"/>
    </xf>
    <xf numFmtId="0" fontId="24" fillId="0" borderId="0" xfId="0" applyFont="1"/>
    <xf numFmtId="0" fontId="31" fillId="8" borderId="18" xfId="0" applyFont="1" applyFill="1" applyBorder="1" applyAlignment="1">
      <alignment horizontal="left" vertical="center" indent="1"/>
    </xf>
    <xf numFmtId="0" fontId="30" fillId="0" borderId="4" xfId="0" applyFont="1" applyBorder="1" applyAlignment="1">
      <alignment horizontal="left" vertical="center" wrapText="1"/>
    </xf>
    <xf numFmtId="0" fontId="9" fillId="0" borderId="0" xfId="0" applyFont="1"/>
    <xf numFmtId="0" fontId="29" fillId="0" borderId="1" xfId="0" applyFont="1" applyBorder="1" applyAlignment="1">
      <alignment horizontal="left" vertical="center" wrapText="1"/>
    </xf>
    <xf numFmtId="0" fontId="8" fillId="3" borderId="17" xfId="0" applyFont="1" applyFill="1" applyBorder="1" applyAlignment="1">
      <alignment horizontal="left" vertical="center" indent="1"/>
    </xf>
    <xf numFmtId="0" fontId="9" fillId="5" borderId="9" xfId="0" applyFont="1" applyFill="1" applyBorder="1" applyAlignment="1">
      <alignment horizontal="left" vertical="center" wrapText="1" indent="1"/>
    </xf>
    <xf numFmtId="0" fontId="0" fillId="2" borderId="0" xfId="0" applyFill="1" applyAlignment="1"/>
    <xf numFmtId="0" fontId="0" fillId="0" borderId="0" xfId="0" applyAlignment="1"/>
    <xf numFmtId="0" fontId="23" fillId="3" borderId="11" xfId="0" applyFont="1" applyFill="1" applyBorder="1" applyAlignment="1">
      <alignment horizontal="center" vertical="center"/>
    </xf>
    <xf numFmtId="0" fontId="0" fillId="0" borderId="13" xfId="0" applyBorder="1" applyAlignment="1"/>
    <xf numFmtId="0" fontId="24" fillId="5" borderId="11" xfId="0" applyFont="1" applyFill="1" applyBorder="1" applyAlignment="1">
      <alignment horizontal="center" vertical="center" wrapText="1"/>
    </xf>
    <xf numFmtId="0" fontId="24" fillId="5" borderId="1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DC3545"/>
      <rgbColor rgb="FFFFF4CC"/>
      <rgbColor rgb="FFEEF1FF"/>
      <rgbColor rgb="FF660066"/>
      <rgbColor rgb="FFFF8080"/>
      <rgbColor rgb="FF0066CC"/>
      <rgbColor rgb="FFE2E5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8FB"/>
      <rgbColor rgb="FFD4EDDA"/>
      <rgbColor rgb="FFFFF3CD"/>
      <rgbColor rgb="FF99CCFF"/>
      <rgbColor rgb="FFFF99CC"/>
      <rgbColor rgb="FFCC99FF"/>
      <rgbColor rgb="FFF8D7DA"/>
      <rgbColor rgb="FF2B4FFF"/>
      <rgbColor rgb="FF33CCCC"/>
      <rgbColor rgb="FF99CC00"/>
      <rgbColor rgb="FFFFCC00"/>
      <rgbColor rgb="FFFF9900"/>
      <rgbColor rgb="FFFF6600"/>
      <rgbColor rgb="FF666699"/>
      <rgbColor rgb="FF8B92A8"/>
      <rgbColor rgb="FF0A1F66"/>
      <rgbColor rgb="FF339966"/>
      <rgbColor rgb="FF003300"/>
      <rgbColor rgb="FF333300"/>
      <rgbColor rgb="FF993300"/>
      <rgbColor rgb="FF993366"/>
      <rgbColor rgb="FF333399"/>
      <rgbColor rgb="FF1A1F3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272143</xdr:colOff>
      <xdr:row>2</xdr:row>
      <xdr:rowOff>1</xdr:rowOff>
    </xdr:from>
    <xdr:to>
      <xdr:col>2</xdr:col>
      <xdr:colOff>1239103</xdr:colOff>
      <xdr:row>4</xdr:row>
      <xdr:rowOff>113041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26357" y="453572"/>
          <a:ext cx="2182532" cy="639183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1</xdr:col>
      <xdr:colOff>665640</xdr:colOff>
      <xdr:row>72</xdr:row>
      <xdr:rowOff>208440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41120" y="15211440"/>
          <a:ext cx="665640" cy="208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B2:AW198"/>
  <sheetViews>
    <sheetView showGridLines="0" zoomScale="140" zoomScaleNormal="140" workbookViewId="0">
      <selection activeCell="D30" sqref="D30:G30"/>
    </sheetView>
  </sheetViews>
  <sheetFormatPr baseColWidth="10" defaultColWidth="8.6640625" defaultRowHeight="15" x14ac:dyDescent="0.2"/>
  <cols>
    <col min="1" max="1" width="2" style="75" customWidth="1"/>
    <col min="2" max="2" width="16" style="75" customWidth="1"/>
    <col min="3" max="3" width="18" style="75" customWidth="1"/>
    <col min="4" max="4" width="32" style="75" customWidth="1"/>
    <col min="5" max="5" width="18" style="75" customWidth="1"/>
    <col min="6" max="6" width="6" style="75" customWidth="1"/>
    <col min="7" max="7" width="14" style="75" customWidth="1"/>
    <col min="8" max="8" width="2" style="75" hidden="1" customWidth="1"/>
    <col min="9" max="49" width="13" style="75" hidden="1" customWidth="1"/>
    <col min="50" max="16384" width="8.6640625" style="75"/>
  </cols>
  <sheetData>
    <row r="2" spans="2:7" ht="21.75" customHeight="1" x14ac:dyDescent="0.2">
      <c r="B2" s="86"/>
      <c r="C2" s="87"/>
      <c r="D2" s="87"/>
      <c r="E2" s="87"/>
      <c r="F2" s="87"/>
      <c r="G2" s="88"/>
    </row>
    <row r="3" spans="2:7" ht="21.75" customHeight="1" x14ac:dyDescent="0.2">
      <c r="B3" s="81"/>
      <c r="G3" s="83"/>
    </row>
    <row r="4" spans="2:7" ht="21.75" customHeight="1" x14ac:dyDescent="0.2">
      <c r="B4" s="81"/>
      <c r="G4" s="83"/>
    </row>
    <row r="5" spans="2:7" ht="21.75" customHeight="1" x14ac:dyDescent="0.2">
      <c r="B5" s="81"/>
      <c r="G5" s="83"/>
    </row>
    <row r="6" spans="2:7" ht="39.75" customHeight="1" x14ac:dyDescent="0.2">
      <c r="B6" s="117" t="s">
        <v>0</v>
      </c>
      <c r="C6" s="117"/>
      <c r="D6" s="117"/>
      <c r="E6" s="117"/>
      <c r="F6" s="117"/>
      <c r="G6" s="117"/>
    </row>
    <row r="7" spans="2:7" ht="15.75" customHeight="1" x14ac:dyDescent="0.2">
      <c r="B7" s="118" t="s">
        <v>1</v>
      </c>
      <c r="C7" s="118"/>
      <c r="D7" s="118"/>
      <c r="E7" s="118"/>
      <c r="F7" s="118"/>
      <c r="G7" s="118"/>
    </row>
    <row r="8" spans="2:7" ht="19.5" customHeight="1" x14ac:dyDescent="0.2">
      <c r="B8" s="119" t="s">
        <v>2</v>
      </c>
      <c r="C8" s="119"/>
      <c r="D8" s="119"/>
      <c r="E8" s="119"/>
      <c r="F8" s="119"/>
      <c r="G8" s="119"/>
    </row>
    <row r="9" spans="2:7" ht="3.75" customHeight="1" x14ac:dyDescent="0.2">
      <c r="B9" s="78"/>
      <c r="C9" s="79"/>
      <c r="D9" s="79"/>
      <c r="E9" s="79"/>
      <c r="F9" s="79"/>
      <c r="G9" s="89"/>
    </row>
    <row r="10" spans="2:7" ht="15" customHeight="1" x14ac:dyDescent="0.2">
      <c r="B10" s="81"/>
      <c r="G10" s="83"/>
    </row>
    <row r="11" spans="2:7" ht="21.75" customHeight="1" x14ac:dyDescent="0.2">
      <c r="B11" s="113" t="s">
        <v>3</v>
      </c>
      <c r="C11" s="113"/>
      <c r="D11" s="113"/>
      <c r="E11" s="113"/>
      <c r="F11" s="113"/>
      <c r="G11" s="113"/>
    </row>
    <row r="12" spans="2:7" ht="31.5" customHeight="1" x14ac:dyDescent="0.2">
      <c r="B12" s="95" t="s">
        <v>4</v>
      </c>
      <c r="C12" s="116" t="s">
        <v>5</v>
      </c>
      <c r="D12" s="116"/>
      <c r="E12" s="116"/>
      <c r="F12" s="116"/>
      <c r="G12" s="116"/>
    </row>
    <row r="13" spans="2:7" ht="31.5" customHeight="1" x14ac:dyDescent="0.2">
      <c r="B13" s="95" t="s">
        <v>6</v>
      </c>
      <c r="C13" s="116" t="s">
        <v>7</v>
      </c>
      <c r="D13" s="116"/>
      <c r="E13" s="116"/>
      <c r="F13" s="116"/>
      <c r="G13" s="116"/>
    </row>
    <row r="14" spans="2:7" ht="31.5" customHeight="1" x14ac:dyDescent="0.2">
      <c r="B14" s="95" t="s">
        <v>8</v>
      </c>
      <c r="C14" s="116" t="s">
        <v>9</v>
      </c>
      <c r="D14" s="116"/>
      <c r="E14" s="116"/>
      <c r="F14" s="116"/>
      <c r="G14" s="116"/>
    </row>
    <row r="15" spans="2:7" ht="31.5" customHeight="1" x14ac:dyDescent="0.2">
      <c r="B15" s="95" t="s">
        <v>10</v>
      </c>
      <c r="C15" s="116" t="s">
        <v>11</v>
      </c>
      <c r="D15" s="116"/>
      <c r="E15" s="116"/>
      <c r="F15" s="116"/>
      <c r="G15" s="116"/>
    </row>
    <row r="16" spans="2:7" ht="31.5" customHeight="1" x14ac:dyDescent="0.2">
      <c r="B16" s="95" t="s">
        <v>12</v>
      </c>
      <c r="C16" s="116" t="s">
        <v>13</v>
      </c>
      <c r="D16" s="116"/>
      <c r="E16" s="116"/>
      <c r="F16" s="116"/>
      <c r="G16" s="116"/>
    </row>
    <row r="17" spans="2:7" ht="31.5" customHeight="1" x14ac:dyDescent="0.2">
      <c r="B17" s="95" t="s">
        <v>14</v>
      </c>
      <c r="C17" s="116" t="s">
        <v>15</v>
      </c>
      <c r="D17" s="116"/>
      <c r="E17" s="116"/>
      <c r="F17" s="116"/>
      <c r="G17" s="116"/>
    </row>
    <row r="18" spans="2:7" ht="15" customHeight="1" x14ac:dyDescent="0.2">
      <c r="B18" s="81"/>
      <c r="G18" s="83"/>
    </row>
    <row r="19" spans="2:7" ht="24" customHeight="1" x14ac:dyDescent="0.2">
      <c r="B19" s="114" t="s">
        <v>16</v>
      </c>
      <c r="C19" s="114"/>
      <c r="D19" s="114"/>
      <c r="E19" s="114"/>
      <c r="F19" s="114"/>
      <c r="G19" s="114"/>
    </row>
    <row r="20" spans="2:7" ht="21.75" customHeight="1" x14ac:dyDescent="0.2">
      <c r="B20" s="115" t="s">
        <v>17</v>
      </c>
      <c r="C20" s="115"/>
      <c r="D20" s="115"/>
      <c r="E20" s="115"/>
      <c r="F20" s="115"/>
      <c r="G20" s="115"/>
    </row>
    <row r="21" spans="2:7" ht="36" customHeight="1" x14ac:dyDescent="0.2">
      <c r="B21" s="94" t="s">
        <v>18</v>
      </c>
      <c r="C21" s="111" t="s">
        <v>19</v>
      </c>
      <c r="D21" s="111"/>
      <c r="E21" s="111"/>
      <c r="F21" s="111"/>
      <c r="G21" s="111"/>
    </row>
    <row r="22" spans="2:7" ht="36" customHeight="1" x14ac:dyDescent="0.2">
      <c r="B22" s="94" t="s">
        <v>20</v>
      </c>
      <c r="C22" s="111" t="s">
        <v>21</v>
      </c>
      <c r="D22" s="111"/>
      <c r="E22" s="111"/>
      <c r="F22" s="111"/>
      <c r="G22" s="111"/>
    </row>
    <row r="23" spans="2:7" ht="36" customHeight="1" x14ac:dyDescent="0.2">
      <c r="B23" s="94" t="s">
        <v>22</v>
      </c>
      <c r="C23" s="111" t="s">
        <v>23</v>
      </c>
      <c r="D23" s="111"/>
      <c r="E23" s="111"/>
      <c r="F23" s="111"/>
      <c r="G23" s="111"/>
    </row>
    <row r="24" spans="2:7" ht="43" customHeight="1" x14ac:dyDescent="0.2">
      <c r="B24" s="94" t="s">
        <v>24</v>
      </c>
      <c r="C24" s="111" t="s">
        <v>25</v>
      </c>
      <c r="D24" s="111"/>
      <c r="E24" s="111"/>
      <c r="F24" s="111"/>
      <c r="G24" s="111"/>
    </row>
    <row r="25" spans="2:7" ht="18" customHeight="1" x14ac:dyDescent="0.2">
      <c r="B25" s="112" t="s">
        <v>26</v>
      </c>
      <c r="C25" s="112"/>
      <c r="D25" s="112"/>
      <c r="E25" s="112"/>
      <c r="F25" s="112"/>
      <c r="G25" s="112"/>
    </row>
    <row r="26" spans="2:7" ht="15" customHeight="1" x14ac:dyDescent="0.2">
      <c r="B26" s="81"/>
      <c r="G26" s="83"/>
    </row>
    <row r="27" spans="2:7" ht="21.75" customHeight="1" x14ac:dyDescent="0.2">
      <c r="B27" s="113" t="s">
        <v>27</v>
      </c>
      <c r="C27" s="113"/>
      <c r="D27" s="113"/>
      <c r="E27" s="113"/>
      <c r="F27" s="113"/>
      <c r="G27" s="113"/>
    </row>
    <row r="28" spans="2:7" ht="18" customHeight="1" x14ac:dyDescent="0.2">
      <c r="B28" s="90"/>
      <c r="C28" s="91" t="s">
        <v>28</v>
      </c>
      <c r="D28" s="108" t="s">
        <v>29</v>
      </c>
      <c r="E28" s="108"/>
      <c r="F28" s="108"/>
      <c r="G28" s="108"/>
    </row>
    <row r="29" spans="2:7" ht="18" customHeight="1" x14ac:dyDescent="0.2">
      <c r="B29" s="92"/>
      <c r="C29" s="91" t="s">
        <v>30</v>
      </c>
      <c r="D29" s="108" t="s">
        <v>31</v>
      </c>
      <c r="E29" s="108"/>
      <c r="F29" s="108"/>
      <c r="G29" s="108"/>
    </row>
    <row r="30" spans="2:7" ht="18" customHeight="1" x14ac:dyDescent="0.2">
      <c r="B30" s="93"/>
      <c r="C30" s="91" t="s">
        <v>32</v>
      </c>
      <c r="D30" s="108" t="s">
        <v>33</v>
      </c>
      <c r="E30" s="108"/>
      <c r="F30" s="108"/>
      <c r="G30" s="108"/>
    </row>
    <row r="31" spans="2:7" ht="15" customHeight="1" x14ac:dyDescent="0.2">
      <c r="B31" s="81"/>
      <c r="G31" s="83"/>
    </row>
    <row r="32" spans="2:7" ht="15" customHeight="1" x14ac:dyDescent="0.2">
      <c r="B32" s="109" t="s">
        <v>34</v>
      </c>
      <c r="C32" s="109"/>
      <c r="D32" s="109"/>
      <c r="E32" s="109"/>
      <c r="F32" s="109"/>
      <c r="G32" s="109"/>
    </row>
    <row r="33" spans="2:7" ht="15" customHeight="1" x14ac:dyDescent="0.2">
      <c r="B33" s="81"/>
      <c r="G33" s="83"/>
    </row>
    <row r="34" spans="2:7" ht="15" customHeight="1" x14ac:dyDescent="0.2">
      <c r="B34" s="110" t="s">
        <v>35</v>
      </c>
      <c r="C34" s="110"/>
      <c r="D34" s="110"/>
      <c r="E34" s="110"/>
      <c r="F34" s="110"/>
      <c r="G34" s="110"/>
    </row>
    <row r="35" spans="2:7" ht="15" hidden="1" customHeight="1" x14ac:dyDescent="0.2"/>
    <row r="36" spans="2:7" ht="15" hidden="1" customHeight="1" x14ac:dyDescent="0.2"/>
    <row r="37" spans="2:7" ht="15" hidden="1" customHeight="1" x14ac:dyDescent="0.2"/>
    <row r="38" spans="2:7" ht="15" hidden="1" customHeight="1" x14ac:dyDescent="0.2"/>
    <row r="39" spans="2:7" ht="15" hidden="1" customHeight="1" x14ac:dyDescent="0.2"/>
    <row r="40" spans="2:7" ht="15" hidden="1" customHeight="1" x14ac:dyDescent="0.2"/>
    <row r="41" spans="2:7" ht="15" hidden="1" customHeight="1" x14ac:dyDescent="0.2"/>
    <row r="42" spans="2:7" ht="15" hidden="1" customHeight="1" x14ac:dyDescent="0.2"/>
    <row r="43" spans="2:7" ht="15" hidden="1" customHeight="1" x14ac:dyDescent="0.2"/>
    <row r="44" spans="2:7" ht="15" hidden="1" customHeight="1" x14ac:dyDescent="0.2"/>
    <row r="45" spans="2:7" ht="15" hidden="1" customHeight="1" x14ac:dyDescent="0.2"/>
    <row r="46" spans="2:7" ht="15" hidden="1" customHeight="1" x14ac:dyDescent="0.2"/>
    <row r="47" spans="2:7" ht="15" hidden="1" customHeight="1" x14ac:dyDescent="0.2"/>
    <row r="48" spans="2:7" ht="15" hidden="1" customHeight="1" x14ac:dyDescent="0.2"/>
    <row r="49" ht="15" hidden="1" customHeight="1" x14ac:dyDescent="0.2"/>
    <row r="50" ht="15" hidden="1" customHeight="1" x14ac:dyDescent="0.2"/>
    <row r="51" ht="15" hidden="1" customHeight="1" x14ac:dyDescent="0.2"/>
    <row r="52" ht="15" hidden="1" customHeight="1" x14ac:dyDescent="0.2"/>
    <row r="53" ht="15" hidden="1" customHeight="1" x14ac:dyDescent="0.2"/>
    <row r="54" ht="15" hidden="1" customHeight="1" x14ac:dyDescent="0.2"/>
    <row r="55" ht="15" hidden="1" customHeight="1" x14ac:dyDescent="0.2"/>
    <row r="56" ht="15" hidden="1" customHeight="1" x14ac:dyDescent="0.2"/>
    <row r="57" ht="15" hidden="1" customHeight="1" x14ac:dyDescent="0.2"/>
    <row r="58" ht="15" hidden="1" customHeight="1" x14ac:dyDescent="0.2"/>
    <row r="59" ht="15" hidden="1" customHeight="1" x14ac:dyDescent="0.2"/>
    <row r="60" ht="15" hidden="1" customHeight="1" x14ac:dyDescent="0.2"/>
    <row r="61" ht="15" hidden="1" customHeight="1" x14ac:dyDescent="0.2"/>
    <row r="62" ht="15" hidden="1" customHeight="1" x14ac:dyDescent="0.2"/>
    <row r="63" ht="15" hidden="1" customHeight="1" x14ac:dyDescent="0.2"/>
    <row r="64" ht="15" hidden="1" customHeight="1" x14ac:dyDescent="0.2"/>
    <row r="65" ht="15" hidden="1" customHeight="1" x14ac:dyDescent="0.2"/>
    <row r="66" ht="15" hidden="1" customHeight="1" x14ac:dyDescent="0.2"/>
    <row r="67" ht="15" hidden="1" customHeight="1" x14ac:dyDescent="0.2"/>
    <row r="68" ht="15" hidden="1" customHeight="1" x14ac:dyDescent="0.2"/>
    <row r="69" ht="15" hidden="1" customHeight="1" x14ac:dyDescent="0.2"/>
    <row r="70" ht="15" hidden="1" customHeight="1" x14ac:dyDescent="0.2"/>
    <row r="71" ht="15" hidden="1" customHeight="1" x14ac:dyDescent="0.2"/>
    <row r="72" ht="15" hidden="1" customHeight="1" x14ac:dyDescent="0.2"/>
    <row r="73" ht="15" hidden="1" customHeight="1" x14ac:dyDescent="0.2"/>
    <row r="74" ht="15" hidden="1" customHeight="1" x14ac:dyDescent="0.2"/>
    <row r="75" ht="15" hidden="1" customHeight="1" x14ac:dyDescent="0.2"/>
    <row r="76" ht="15" hidden="1" customHeight="1" x14ac:dyDescent="0.2"/>
    <row r="77" ht="15" hidden="1" customHeight="1" x14ac:dyDescent="0.2"/>
    <row r="78" ht="15" hidden="1" customHeight="1" x14ac:dyDescent="0.2"/>
    <row r="79" ht="15" hidden="1" customHeight="1" x14ac:dyDescent="0.2"/>
    <row r="80" ht="15" hidden="1" customHeight="1" x14ac:dyDescent="0.2"/>
    <row r="81" ht="15" hidden="1" customHeight="1" x14ac:dyDescent="0.2"/>
    <row r="82" ht="15" hidden="1" customHeight="1" x14ac:dyDescent="0.2"/>
    <row r="83" ht="15" hidden="1" customHeight="1" x14ac:dyDescent="0.2"/>
    <row r="84" ht="15" hidden="1" customHeight="1" x14ac:dyDescent="0.2"/>
    <row r="85" ht="15" hidden="1" customHeight="1" x14ac:dyDescent="0.2"/>
    <row r="86" ht="15" hidden="1" customHeight="1" x14ac:dyDescent="0.2"/>
    <row r="87" ht="15" hidden="1" customHeight="1" x14ac:dyDescent="0.2"/>
    <row r="88" ht="15" hidden="1" customHeight="1" x14ac:dyDescent="0.2"/>
    <row r="89" ht="15" hidden="1" customHeight="1" x14ac:dyDescent="0.2"/>
    <row r="90" ht="15" hidden="1" customHeight="1" x14ac:dyDescent="0.2"/>
    <row r="91" ht="15" hidden="1" customHeight="1" x14ac:dyDescent="0.2"/>
    <row r="92" ht="15" hidden="1" customHeight="1" x14ac:dyDescent="0.2"/>
    <row r="93" ht="15" hidden="1" customHeight="1" x14ac:dyDescent="0.2"/>
    <row r="94" ht="15" hidden="1" customHeight="1" x14ac:dyDescent="0.2"/>
    <row r="95" ht="15" hidden="1" customHeight="1" x14ac:dyDescent="0.2"/>
    <row r="96" ht="15" hidden="1" customHeight="1" x14ac:dyDescent="0.2"/>
    <row r="97" ht="15" hidden="1" customHeight="1" x14ac:dyDescent="0.2"/>
    <row r="98" ht="15" hidden="1" customHeight="1" x14ac:dyDescent="0.2"/>
    <row r="99" ht="15" hidden="1" customHeight="1" x14ac:dyDescent="0.2"/>
    <row r="100" ht="15" hidden="1" customHeight="1" x14ac:dyDescent="0.2"/>
    <row r="101" ht="15" hidden="1" customHeight="1" x14ac:dyDescent="0.2"/>
    <row r="102" ht="15" hidden="1" customHeight="1" x14ac:dyDescent="0.2"/>
    <row r="103" ht="15" hidden="1" customHeight="1" x14ac:dyDescent="0.2"/>
    <row r="104" ht="15" hidden="1" customHeight="1" x14ac:dyDescent="0.2"/>
    <row r="105" ht="15" hidden="1" customHeight="1" x14ac:dyDescent="0.2"/>
    <row r="106" ht="15" hidden="1" customHeight="1" x14ac:dyDescent="0.2"/>
    <row r="107" ht="15" hidden="1" customHeight="1" x14ac:dyDescent="0.2"/>
    <row r="108" ht="15" hidden="1" customHeight="1" x14ac:dyDescent="0.2"/>
    <row r="109" ht="15" hidden="1" customHeight="1" x14ac:dyDescent="0.2"/>
    <row r="110" ht="15" hidden="1" customHeight="1" x14ac:dyDescent="0.2"/>
    <row r="111" ht="15" hidden="1" customHeight="1" x14ac:dyDescent="0.2"/>
    <row r="112" ht="15" hidden="1" customHeight="1" x14ac:dyDescent="0.2"/>
    <row r="113" ht="15" hidden="1" customHeight="1" x14ac:dyDescent="0.2"/>
    <row r="114" ht="15" hidden="1" customHeight="1" x14ac:dyDescent="0.2"/>
    <row r="115" ht="15" hidden="1" customHeight="1" x14ac:dyDescent="0.2"/>
    <row r="116" ht="15" hidden="1" customHeight="1" x14ac:dyDescent="0.2"/>
    <row r="117" ht="15" hidden="1" customHeight="1" x14ac:dyDescent="0.2"/>
    <row r="118" ht="15" hidden="1" customHeight="1" x14ac:dyDescent="0.2"/>
    <row r="119" ht="15" hidden="1" customHeight="1" x14ac:dyDescent="0.2"/>
    <row r="120" ht="15" hidden="1" customHeight="1" x14ac:dyDescent="0.2"/>
    <row r="121" ht="15" hidden="1" customHeight="1" x14ac:dyDescent="0.2"/>
    <row r="122" ht="15" hidden="1" customHeight="1" x14ac:dyDescent="0.2"/>
    <row r="123" ht="15" hidden="1" customHeight="1" x14ac:dyDescent="0.2"/>
    <row r="124" ht="15" hidden="1" customHeight="1" x14ac:dyDescent="0.2"/>
    <row r="125" ht="15" hidden="1" customHeight="1" x14ac:dyDescent="0.2"/>
    <row r="126" ht="15" hidden="1" customHeight="1" x14ac:dyDescent="0.2"/>
    <row r="127" ht="15" hidden="1" customHeight="1" x14ac:dyDescent="0.2"/>
    <row r="128" ht="15" hidden="1" customHeight="1" x14ac:dyDescent="0.2"/>
    <row r="129" ht="15" hidden="1" customHeight="1" x14ac:dyDescent="0.2"/>
    <row r="130" ht="15" hidden="1" customHeight="1" x14ac:dyDescent="0.2"/>
    <row r="131" ht="15" hidden="1" customHeight="1" x14ac:dyDescent="0.2"/>
    <row r="132" ht="15" hidden="1" customHeight="1" x14ac:dyDescent="0.2"/>
    <row r="133" ht="15" hidden="1" customHeight="1" x14ac:dyDescent="0.2"/>
    <row r="134" ht="15" hidden="1" customHeight="1" x14ac:dyDescent="0.2"/>
    <row r="135" ht="15" hidden="1" customHeight="1" x14ac:dyDescent="0.2"/>
    <row r="136" ht="15" hidden="1" customHeight="1" x14ac:dyDescent="0.2"/>
    <row r="137" ht="15" hidden="1" customHeight="1" x14ac:dyDescent="0.2"/>
    <row r="138" ht="15" hidden="1" customHeight="1" x14ac:dyDescent="0.2"/>
    <row r="139" ht="15" hidden="1" customHeight="1" x14ac:dyDescent="0.2"/>
    <row r="140" ht="15" hidden="1" customHeight="1" x14ac:dyDescent="0.2"/>
    <row r="141" ht="15" hidden="1" customHeight="1" x14ac:dyDescent="0.2"/>
    <row r="142" ht="15" hidden="1" customHeight="1" x14ac:dyDescent="0.2"/>
    <row r="143" ht="15" hidden="1" customHeight="1" x14ac:dyDescent="0.2"/>
    <row r="144" ht="15" hidden="1" customHeight="1" x14ac:dyDescent="0.2"/>
    <row r="145" ht="15" hidden="1" customHeight="1" x14ac:dyDescent="0.2"/>
    <row r="146" ht="15" hidden="1" customHeight="1" x14ac:dyDescent="0.2"/>
    <row r="147" ht="15" hidden="1" customHeight="1" x14ac:dyDescent="0.2"/>
    <row r="148" ht="15" hidden="1" customHeight="1" x14ac:dyDescent="0.2"/>
    <row r="149" ht="15" hidden="1" customHeight="1" x14ac:dyDescent="0.2"/>
    <row r="150" ht="15" hidden="1" customHeight="1" x14ac:dyDescent="0.2"/>
    <row r="151" ht="15" hidden="1" customHeight="1" x14ac:dyDescent="0.2"/>
    <row r="152" ht="15" hidden="1" customHeight="1" x14ac:dyDescent="0.2"/>
    <row r="153" ht="15" hidden="1" customHeight="1" x14ac:dyDescent="0.2"/>
    <row r="154" ht="15" hidden="1" customHeight="1" x14ac:dyDescent="0.2"/>
    <row r="155" ht="15" hidden="1" customHeight="1" x14ac:dyDescent="0.2"/>
    <row r="156" ht="15" hidden="1" customHeight="1" x14ac:dyDescent="0.2"/>
    <row r="157" ht="15" hidden="1" customHeight="1" x14ac:dyDescent="0.2"/>
    <row r="158" ht="15" hidden="1" customHeight="1" x14ac:dyDescent="0.2"/>
    <row r="159" ht="15" hidden="1" customHeight="1" x14ac:dyDescent="0.2"/>
    <row r="160" ht="15" hidden="1" customHeight="1" x14ac:dyDescent="0.2"/>
    <row r="161" ht="15" hidden="1" customHeight="1" x14ac:dyDescent="0.2"/>
    <row r="162" ht="15" hidden="1" customHeight="1" x14ac:dyDescent="0.2"/>
    <row r="163" ht="15" hidden="1" customHeight="1" x14ac:dyDescent="0.2"/>
    <row r="164" ht="15" hidden="1" customHeight="1" x14ac:dyDescent="0.2"/>
    <row r="165" ht="15" hidden="1" customHeight="1" x14ac:dyDescent="0.2"/>
    <row r="166" ht="15" hidden="1" customHeight="1" x14ac:dyDescent="0.2"/>
    <row r="167" ht="15" hidden="1" customHeight="1" x14ac:dyDescent="0.2"/>
    <row r="168" ht="15" hidden="1" customHeight="1" x14ac:dyDescent="0.2"/>
    <row r="169" ht="15" hidden="1" customHeight="1" x14ac:dyDescent="0.2"/>
    <row r="170" ht="15" hidden="1" customHeight="1" x14ac:dyDescent="0.2"/>
    <row r="171" ht="15" hidden="1" customHeight="1" x14ac:dyDescent="0.2"/>
    <row r="172" ht="15" hidden="1" customHeight="1" x14ac:dyDescent="0.2"/>
    <row r="173" ht="15" hidden="1" customHeight="1" x14ac:dyDescent="0.2"/>
    <row r="174" ht="15" hidden="1" customHeight="1" x14ac:dyDescent="0.2"/>
    <row r="175" ht="15" hidden="1" customHeight="1" x14ac:dyDescent="0.2"/>
    <row r="176" ht="15" hidden="1" customHeight="1" x14ac:dyDescent="0.2"/>
    <row r="177" ht="15" hidden="1" customHeight="1" x14ac:dyDescent="0.2"/>
    <row r="178" ht="15" hidden="1" customHeight="1" x14ac:dyDescent="0.2"/>
    <row r="179" ht="15" hidden="1" customHeight="1" x14ac:dyDescent="0.2"/>
    <row r="180" ht="15" hidden="1" customHeight="1" x14ac:dyDescent="0.2"/>
    <row r="181" ht="15" hidden="1" customHeight="1" x14ac:dyDescent="0.2"/>
    <row r="182" ht="15" hidden="1" customHeight="1" x14ac:dyDescent="0.2"/>
    <row r="183" ht="15" hidden="1" customHeight="1" x14ac:dyDescent="0.2"/>
    <row r="184" ht="15" hidden="1" customHeight="1" x14ac:dyDescent="0.2"/>
    <row r="185" ht="15" hidden="1" customHeight="1" x14ac:dyDescent="0.2"/>
    <row r="186" ht="15" hidden="1" customHeight="1" x14ac:dyDescent="0.2"/>
    <row r="187" ht="15" hidden="1" customHeight="1" x14ac:dyDescent="0.2"/>
    <row r="188" ht="15" hidden="1" customHeight="1" x14ac:dyDescent="0.2"/>
    <row r="189" ht="15" hidden="1" customHeight="1" x14ac:dyDescent="0.2"/>
    <row r="190" ht="15" hidden="1" customHeight="1" x14ac:dyDescent="0.2"/>
    <row r="191" ht="15" hidden="1" customHeight="1" x14ac:dyDescent="0.2"/>
    <row r="192" ht="15" hidden="1" customHeight="1" x14ac:dyDescent="0.2"/>
    <row r="193" ht="15" hidden="1" customHeight="1" x14ac:dyDescent="0.2"/>
    <row r="194" ht="15" hidden="1" customHeight="1" x14ac:dyDescent="0.2"/>
    <row r="195" ht="15" hidden="1" customHeight="1" x14ac:dyDescent="0.2"/>
    <row r="196" ht="15" hidden="1" customHeight="1" x14ac:dyDescent="0.2"/>
    <row r="197" ht="15" hidden="1" customHeight="1" x14ac:dyDescent="0.2"/>
    <row r="198" ht="15" hidden="1" customHeight="1" x14ac:dyDescent="0.2"/>
  </sheetData>
  <mergeCells count="23">
    <mergeCell ref="B6:G6"/>
    <mergeCell ref="B7:G7"/>
    <mergeCell ref="B8:G8"/>
    <mergeCell ref="B11:G11"/>
    <mergeCell ref="C12:G12"/>
    <mergeCell ref="C13:G13"/>
    <mergeCell ref="C14:G14"/>
    <mergeCell ref="C15:G15"/>
    <mergeCell ref="C16:G16"/>
    <mergeCell ref="C17:G17"/>
    <mergeCell ref="B19:G19"/>
    <mergeCell ref="B20:G20"/>
    <mergeCell ref="C21:G21"/>
    <mergeCell ref="C22:G22"/>
    <mergeCell ref="C23:G23"/>
    <mergeCell ref="D30:G30"/>
    <mergeCell ref="B32:G32"/>
    <mergeCell ref="B34:G34"/>
    <mergeCell ref="C24:G24"/>
    <mergeCell ref="B25:G25"/>
    <mergeCell ref="B27:G27"/>
    <mergeCell ref="D28:G28"/>
    <mergeCell ref="D29:G29"/>
  </mergeCells>
  <pageMargins left="0.3" right="0.3" top="0.4" bottom="0.4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B4FFF"/>
    <pageSetUpPr fitToPage="1"/>
  </sheetPr>
  <dimension ref="B2:AW199"/>
  <sheetViews>
    <sheetView showGridLines="0" zoomScale="170" zoomScaleNormal="17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B24" sqref="BB24"/>
    </sheetView>
  </sheetViews>
  <sheetFormatPr baseColWidth="10" defaultColWidth="8.6640625" defaultRowHeight="15" x14ac:dyDescent="0.2"/>
  <cols>
    <col min="1" max="1" width="2" style="75" customWidth="1"/>
    <col min="2" max="2" width="30" style="75" customWidth="1"/>
    <col min="3" max="3" width="18" style="75" customWidth="1"/>
    <col min="4" max="4" width="3" style="75" customWidth="1"/>
    <col min="5" max="5" width="30" style="75" customWidth="1"/>
    <col min="6" max="6" width="18" style="75" customWidth="1"/>
    <col min="7" max="7" width="6" style="75" customWidth="1"/>
    <col min="8" max="8" width="14" style="75" customWidth="1"/>
    <col min="9" max="9" width="2" style="75" hidden="1" customWidth="1"/>
    <col min="10" max="49" width="13" style="75" hidden="1" customWidth="1"/>
    <col min="50" max="16384" width="8.6640625" style="75"/>
  </cols>
  <sheetData>
    <row r="2" spans="2:8" ht="19" customHeight="1" x14ac:dyDescent="0.2">
      <c r="B2" s="103" t="s">
        <v>36</v>
      </c>
      <c r="C2" s="103"/>
      <c r="D2" s="103"/>
      <c r="E2" s="103"/>
      <c r="F2" s="103"/>
      <c r="G2" s="104" t="s">
        <v>37</v>
      </c>
      <c r="H2" s="104"/>
    </row>
    <row r="3" spans="2:8" ht="12.75" customHeight="1" x14ac:dyDescent="0.2">
      <c r="B3" s="105" t="s">
        <v>38</v>
      </c>
      <c r="C3" s="105"/>
      <c r="D3" s="105"/>
      <c r="E3" s="105"/>
      <c r="F3" s="105"/>
      <c r="G3" s="76"/>
      <c r="H3" s="77" t="s">
        <v>39</v>
      </c>
    </row>
    <row r="4" spans="2:8" ht="12.75" customHeight="1" x14ac:dyDescent="0.2">
      <c r="B4" s="78"/>
      <c r="C4" s="79"/>
      <c r="D4" s="79"/>
      <c r="E4" s="79"/>
      <c r="F4" s="79"/>
      <c r="G4" s="80"/>
      <c r="H4" s="77" t="s">
        <v>40</v>
      </c>
    </row>
    <row r="5" spans="2:8" ht="12.75" customHeight="1" x14ac:dyDescent="0.2">
      <c r="B5" s="81"/>
      <c r="G5" s="82"/>
      <c r="H5" s="77" t="s">
        <v>41</v>
      </c>
    </row>
    <row r="6" spans="2:8" ht="15" customHeight="1" x14ac:dyDescent="0.2">
      <c r="B6" s="81"/>
      <c r="H6" s="83"/>
    </row>
    <row r="7" spans="2:8" ht="21.75" customHeight="1" x14ac:dyDescent="0.2">
      <c r="B7" s="124" t="s">
        <v>42</v>
      </c>
      <c r="C7" s="124"/>
      <c r="E7" s="123" t="s">
        <v>43</v>
      </c>
      <c r="F7" s="123"/>
      <c r="H7" s="83"/>
    </row>
    <row r="8" spans="2:8" ht="36" customHeight="1" x14ac:dyDescent="0.2">
      <c r="B8" s="10" t="s">
        <v>44</v>
      </c>
      <c r="C8" s="51" t="s">
        <v>45</v>
      </c>
      <c r="E8" s="122" t="s">
        <v>46</v>
      </c>
      <c r="F8" s="122"/>
      <c r="H8" s="83"/>
    </row>
    <row r="9" spans="2:8" ht="19.5" customHeight="1" x14ac:dyDescent="0.2">
      <c r="B9" s="10" t="s">
        <v>47</v>
      </c>
      <c r="C9" s="51" t="s">
        <v>48</v>
      </c>
      <c r="E9" s="11" t="s">
        <v>49</v>
      </c>
      <c r="F9" s="12">
        <v>45</v>
      </c>
      <c r="H9" s="83"/>
    </row>
    <row r="10" spans="2:8" ht="19.5" customHeight="1" x14ac:dyDescent="0.2">
      <c r="B10" s="10" t="s">
        <v>50</v>
      </c>
      <c r="C10" s="51" t="s">
        <v>51</v>
      </c>
      <c r="H10" s="83"/>
    </row>
    <row r="11" spans="2:8" ht="21.75" customHeight="1" x14ac:dyDescent="0.2">
      <c r="B11" s="10" t="s">
        <v>52</v>
      </c>
      <c r="C11" s="51" t="s">
        <v>53</v>
      </c>
      <c r="E11" s="123" t="s">
        <v>54</v>
      </c>
      <c r="F11" s="123"/>
      <c r="H11" s="83"/>
    </row>
    <row r="12" spans="2:8" ht="19.5" customHeight="1" x14ac:dyDescent="0.2">
      <c r="B12" s="10" t="s">
        <v>55</v>
      </c>
      <c r="C12" s="51" t="s">
        <v>56</v>
      </c>
      <c r="E12" s="11" t="s">
        <v>57</v>
      </c>
      <c r="F12" s="13">
        <v>0.1</v>
      </c>
      <c r="H12" s="83"/>
    </row>
    <row r="13" spans="2:8" ht="19.5" customHeight="1" x14ac:dyDescent="0.2">
      <c r="B13" s="10" t="s">
        <v>58</v>
      </c>
      <c r="C13" s="51" t="s">
        <v>59</v>
      </c>
      <c r="E13" s="11" t="s">
        <v>60</v>
      </c>
      <c r="F13" s="13">
        <v>0.2</v>
      </c>
      <c r="H13" s="83"/>
    </row>
    <row r="14" spans="2:8" ht="19.5" customHeight="1" x14ac:dyDescent="0.2">
      <c r="B14" s="10" t="s">
        <v>61</v>
      </c>
      <c r="C14" s="51"/>
      <c r="E14" s="11" t="s">
        <v>62</v>
      </c>
      <c r="F14" s="13">
        <v>0.05</v>
      </c>
      <c r="H14" s="83"/>
    </row>
    <row r="15" spans="2:8" ht="19.5" customHeight="1" x14ac:dyDescent="0.2">
      <c r="B15" s="10" t="s">
        <v>63</v>
      </c>
      <c r="C15" s="51"/>
      <c r="E15" s="11" t="s">
        <v>64</v>
      </c>
      <c r="F15" s="13">
        <v>0.2</v>
      </c>
      <c r="H15" s="83"/>
    </row>
    <row r="16" spans="2:8" ht="19.5" customHeight="1" x14ac:dyDescent="0.2">
      <c r="B16" s="10" t="s">
        <v>65</v>
      </c>
      <c r="C16" s="51" t="s">
        <v>66</v>
      </c>
      <c r="E16" s="11" t="s">
        <v>67</v>
      </c>
      <c r="F16" s="13">
        <v>0.15</v>
      </c>
      <c r="H16" s="83"/>
    </row>
    <row r="17" spans="2:8" ht="19.5" customHeight="1" x14ac:dyDescent="0.2">
      <c r="B17" s="10" t="s">
        <v>68</v>
      </c>
      <c r="C17" s="51">
        <v>30</v>
      </c>
      <c r="H17" s="83"/>
    </row>
    <row r="18" spans="2:8" ht="21.75" customHeight="1" x14ac:dyDescent="0.2">
      <c r="B18" s="81"/>
      <c r="E18" s="123" t="s">
        <v>69</v>
      </c>
      <c r="F18" s="123"/>
      <c r="H18" s="83"/>
    </row>
    <row r="19" spans="2:8" ht="19.5" customHeight="1" x14ac:dyDescent="0.2">
      <c r="B19" s="124" t="s">
        <v>70</v>
      </c>
      <c r="C19" s="124"/>
      <c r="E19" s="11" t="s">
        <v>71</v>
      </c>
      <c r="F19" s="12">
        <v>75</v>
      </c>
      <c r="H19" s="83"/>
    </row>
    <row r="20" spans="2:8" ht="19.5" customHeight="1" x14ac:dyDescent="0.2">
      <c r="B20" s="10" t="s">
        <v>72</v>
      </c>
      <c r="C20" s="12">
        <v>0.45</v>
      </c>
      <c r="E20" s="11" t="s">
        <v>73</v>
      </c>
      <c r="F20" s="12">
        <v>25</v>
      </c>
      <c r="H20" s="83"/>
    </row>
    <row r="21" spans="2:8" ht="19.5" customHeight="1" x14ac:dyDescent="0.2">
      <c r="B21" s="10" t="s">
        <v>74</v>
      </c>
      <c r="C21" s="14">
        <v>35</v>
      </c>
      <c r="E21" s="11" t="s">
        <v>75</v>
      </c>
      <c r="F21" s="12">
        <v>0</v>
      </c>
      <c r="H21" s="83"/>
    </row>
    <row r="22" spans="2:8" ht="19.5" customHeight="1" x14ac:dyDescent="0.2">
      <c r="B22" s="10" t="s">
        <v>76</v>
      </c>
      <c r="C22" s="14">
        <v>8</v>
      </c>
      <c r="H22" s="83"/>
    </row>
    <row r="23" spans="2:8" ht="15" customHeight="1" x14ac:dyDescent="0.2">
      <c r="B23" s="81"/>
      <c r="H23" s="83"/>
    </row>
    <row r="24" spans="2:8" ht="21.75" customHeight="1" x14ac:dyDescent="0.2">
      <c r="B24" s="124" t="s">
        <v>77</v>
      </c>
      <c r="C24" s="124"/>
      <c r="H24" s="83"/>
    </row>
    <row r="25" spans="2:8" ht="15.75" customHeight="1" x14ac:dyDescent="0.2">
      <c r="B25" s="120" t="s">
        <v>78</v>
      </c>
      <c r="C25" s="120"/>
      <c r="H25" s="83"/>
    </row>
    <row r="26" spans="2:8" ht="19.5" customHeight="1" x14ac:dyDescent="0.2">
      <c r="B26" s="10" t="s">
        <v>79</v>
      </c>
      <c r="C26" s="12">
        <v>25</v>
      </c>
      <c r="H26" s="83"/>
    </row>
    <row r="27" spans="2:8" ht="19.5" customHeight="1" x14ac:dyDescent="0.2">
      <c r="B27" s="10" t="s">
        <v>80</v>
      </c>
      <c r="C27" s="12">
        <v>11</v>
      </c>
      <c r="H27" s="83"/>
    </row>
    <row r="28" spans="2:8" ht="19.5" customHeight="1" x14ac:dyDescent="0.2">
      <c r="B28" s="10" t="s">
        <v>81</v>
      </c>
      <c r="C28" s="12">
        <v>5</v>
      </c>
      <c r="H28" s="83"/>
    </row>
    <row r="29" spans="2:8" ht="21.75" customHeight="1" x14ac:dyDescent="0.2">
      <c r="B29" s="15" t="s">
        <v>82</v>
      </c>
      <c r="C29" s="16">
        <f>SUM(C26:C28)</f>
        <v>41</v>
      </c>
      <c r="H29" s="83"/>
    </row>
    <row r="30" spans="2:8" ht="15" customHeight="1" x14ac:dyDescent="0.2">
      <c r="B30" s="81"/>
      <c r="H30" s="83"/>
    </row>
    <row r="31" spans="2:8" ht="15" customHeight="1" x14ac:dyDescent="0.2">
      <c r="B31" s="121" t="s">
        <v>83</v>
      </c>
      <c r="C31" s="121"/>
      <c r="D31" s="121"/>
      <c r="E31" s="121"/>
      <c r="F31" s="121"/>
      <c r="G31" s="84"/>
      <c r="H31" s="85"/>
    </row>
    <row r="32" spans="2:8" ht="15" hidden="1" customHeight="1" x14ac:dyDescent="0.2"/>
    <row r="33" s="75" customFormat="1" ht="15" hidden="1" customHeight="1" x14ac:dyDescent="0.2"/>
    <row r="34" s="75" customFormat="1" ht="15" hidden="1" customHeight="1" x14ac:dyDescent="0.2"/>
    <row r="35" s="75" customFormat="1" ht="15" hidden="1" customHeight="1" x14ac:dyDescent="0.2"/>
    <row r="36" s="75" customFormat="1" ht="15" hidden="1" customHeight="1" x14ac:dyDescent="0.2"/>
    <row r="37" s="75" customFormat="1" ht="15" hidden="1" customHeight="1" x14ac:dyDescent="0.2"/>
    <row r="38" s="75" customFormat="1" ht="15" hidden="1" customHeight="1" x14ac:dyDescent="0.2"/>
    <row r="39" s="75" customFormat="1" ht="15" hidden="1" customHeight="1" x14ac:dyDescent="0.2"/>
    <row r="40" s="75" customFormat="1" ht="15" hidden="1" customHeight="1" x14ac:dyDescent="0.2"/>
    <row r="41" s="75" customFormat="1" ht="15" hidden="1" customHeight="1" x14ac:dyDescent="0.2"/>
    <row r="42" s="75" customFormat="1" ht="15" hidden="1" customHeight="1" x14ac:dyDescent="0.2"/>
    <row r="43" s="75" customFormat="1" ht="15" hidden="1" customHeight="1" x14ac:dyDescent="0.2"/>
    <row r="44" s="75" customFormat="1" ht="15" hidden="1" customHeight="1" x14ac:dyDescent="0.2"/>
    <row r="45" s="75" customFormat="1" ht="15" hidden="1" customHeight="1" x14ac:dyDescent="0.2"/>
    <row r="46" s="75" customFormat="1" ht="15" hidden="1" customHeight="1" x14ac:dyDescent="0.2"/>
    <row r="47" s="75" customFormat="1" ht="15" hidden="1" customHeight="1" x14ac:dyDescent="0.2"/>
    <row r="48" s="75" customFormat="1" ht="15" hidden="1" customHeight="1" x14ac:dyDescent="0.2"/>
    <row r="49" s="75" customFormat="1" ht="15" hidden="1" customHeight="1" x14ac:dyDescent="0.2"/>
    <row r="50" s="75" customFormat="1" ht="15" hidden="1" customHeight="1" x14ac:dyDescent="0.2"/>
    <row r="51" s="75" customFormat="1" ht="15" hidden="1" customHeight="1" x14ac:dyDescent="0.2"/>
    <row r="52" s="75" customFormat="1" ht="15" hidden="1" customHeight="1" x14ac:dyDescent="0.2"/>
    <row r="53" s="75" customFormat="1" ht="15" hidden="1" customHeight="1" x14ac:dyDescent="0.2"/>
    <row r="54" s="75" customFormat="1" ht="15" hidden="1" customHeight="1" x14ac:dyDescent="0.2"/>
    <row r="55" s="75" customFormat="1" ht="15" hidden="1" customHeight="1" x14ac:dyDescent="0.2"/>
    <row r="56" s="75" customFormat="1" ht="15" hidden="1" customHeight="1" x14ac:dyDescent="0.2"/>
    <row r="57" s="75" customFormat="1" ht="15" hidden="1" customHeight="1" x14ac:dyDescent="0.2"/>
    <row r="58" s="75" customFormat="1" ht="15" hidden="1" customHeight="1" x14ac:dyDescent="0.2"/>
    <row r="59" s="75" customFormat="1" ht="15" hidden="1" customHeight="1" x14ac:dyDescent="0.2"/>
    <row r="60" s="75" customFormat="1" ht="15" hidden="1" customHeight="1" x14ac:dyDescent="0.2"/>
    <row r="61" s="75" customFormat="1" ht="15" hidden="1" customHeight="1" x14ac:dyDescent="0.2"/>
    <row r="62" s="75" customFormat="1" ht="15" hidden="1" customHeight="1" x14ac:dyDescent="0.2"/>
    <row r="63" s="75" customFormat="1" ht="15" hidden="1" customHeight="1" x14ac:dyDescent="0.2"/>
    <row r="64" s="75" customFormat="1" ht="15" hidden="1" customHeight="1" x14ac:dyDescent="0.2"/>
    <row r="65" s="75" customFormat="1" ht="15" hidden="1" customHeight="1" x14ac:dyDescent="0.2"/>
    <row r="66" s="75" customFormat="1" ht="15" hidden="1" customHeight="1" x14ac:dyDescent="0.2"/>
    <row r="67" s="75" customFormat="1" ht="15" hidden="1" customHeight="1" x14ac:dyDescent="0.2"/>
    <row r="68" s="75" customFormat="1" ht="15" hidden="1" customHeight="1" x14ac:dyDescent="0.2"/>
    <row r="69" s="75" customFormat="1" ht="15" hidden="1" customHeight="1" x14ac:dyDescent="0.2"/>
    <row r="70" s="75" customFormat="1" ht="15" hidden="1" customHeight="1" x14ac:dyDescent="0.2"/>
    <row r="71" s="75" customFormat="1" ht="15" hidden="1" customHeight="1" x14ac:dyDescent="0.2"/>
    <row r="72" s="75" customFormat="1" ht="15" hidden="1" customHeight="1" x14ac:dyDescent="0.2"/>
    <row r="73" s="75" customFormat="1" ht="15" hidden="1" customHeight="1" x14ac:dyDescent="0.2"/>
    <row r="74" s="75" customFormat="1" ht="15" hidden="1" customHeight="1" x14ac:dyDescent="0.2"/>
    <row r="75" s="75" customFormat="1" ht="15" hidden="1" customHeight="1" x14ac:dyDescent="0.2"/>
    <row r="76" s="75" customFormat="1" ht="15" hidden="1" customHeight="1" x14ac:dyDescent="0.2"/>
    <row r="77" s="75" customFormat="1" ht="15" hidden="1" customHeight="1" x14ac:dyDescent="0.2"/>
    <row r="78" s="75" customFormat="1" ht="15" hidden="1" customHeight="1" x14ac:dyDescent="0.2"/>
    <row r="79" s="75" customFormat="1" ht="15" hidden="1" customHeight="1" x14ac:dyDescent="0.2"/>
    <row r="80" s="75" customFormat="1" ht="15" hidden="1" customHeight="1" x14ac:dyDescent="0.2"/>
    <row r="81" s="75" customFormat="1" ht="15" hidden="1" customHeight="1" x14ac:dyDescent="0.2"/>
    <row r="82" s="75" customFormat="1" ht="15" hidden="1" customHeight="1" x14ac:dyDescent="0.2"/>
    <row r="83" s="75" customFormat="1" ht="15" hidden="1" customHeight="1" x14ac:dyDescent="0.2"/>
    <row r="84" s="75" customFormat="1" ht="15" hidden="1" customHeight="1" x14ac:dyDescent="0.2"/>
    <row r="85" s="75" customFormat="1" ht="15" hidden="1" customHeight="1" x14ac:dyDescent="0.2"/>
    <row r="86" s="75" customFormat="1" ht="15" hidden="1" customHeight="1" x14ac:dyDescent="0.2"/>
    <row r="87" s="75" customFormat="1" ht="15" hidden="1" customHeight="1" x14ac:dyDescent="0.2"/>
    <row r="88" s="75" customFormat="1" ht="15" hidden="1" customHeight="1" x14ac:dyDescent="0.2"/>
    <row r="89" s="75" customFormat="1" ht="15" hidden="1" customHeight="1" x14ac:dyDescent="0.2"/>
    <row r="90" s="75" customFormat="1" ht="15" hidden="1" customHeight="1" x14ac:dyDescent="0.2"/>
    <row r="91" s="75" customFormat="1" ht="15" hidden="1" customHeight="1" x14ac:dyDescent="0.2"/>
    <row r="92" s="75" customFormat="1" ht="15" hidden="1" customHeight="1" x14ac:dyDescent="0.2"/>
    <row r="93" s="75" customFormat="1" ht="15" hidden="1" customHeight="1" x14ac:dyDescent="0.2"/>
    <row r="94" s="75" customFormat="1" ht="15" hidden="1" customHeight="1" x14ac:dyDescent="0.2"/>
    <row r="95" s="75" customFormat="1" ht="15" hidden="1" customHeight="1" x14ac:dyDescent="0.2"/>
    <row r="96" s="75" customFormat="1" ht="15" hidden="1" customHeight="1" x14ac:dyDescent="0.2"/>
    <row r="97" s="75" customFormat="1" ht="15" hidden="1" customHeight="1" x14ac:dyDescent="0.2"/>
    <row r="98" s="75" customFormat="1" ht="15" hidden="1" customHeight="1" x14ac:dyDescent="0.2"/>
    <row r="99" s="75" customFormat="1" ht="15" hidden="1" customHeight="1" x14ac:dyDescent="0.2"/>
    <row r="100" s="75" customFormat="1" ht="15" hidden="1" customHeight="1" x14ac:dyDescent="0.2"/>
    <row r="101" s="75" customFormat="1" ht="15" hidden="1" customHeight="1" x14ac:dyDescent="0.2"/>
    <row r="102" s="75" customFormat="1" ht="15" hidden="1" customHeight="1" x14ac:dyDescent="0.2"/>
    <row r="103" s="75" customFormat="1" ht="15" hidden="1" customHeight="1" x14ac:dyDescent="0.2"/>
    <row r="104" s="75" customFormat="1" ht="15" hidden="1" customHeight="1" x14ac:dyDescent="0.2"/>
    <row r="105" s="75" customFormat="1" ht="15" hidden="1" customHeight="1" x14ac:dyDescent="0.2"/>
    <row r="106" s="75" customFormat="1" ht="15" hidden="1" customHeight="1" x14ac:dyDescent="0.2"/>
    <row r="107" s="75" customFormat="1" ht="15" hidden="1" customHeight="1" x14ac:dyDescent="0.2"/>
    <row r="108" s="75" customFormat="1" ht="15" hidden="1" customHeight="1" x14ac:dyDescent="0.2"/>
    <row r="109" s="75" customFormat="1" ht="15" hidden="1" customHeight="1" x14ac:dyDescent="0.2"/>
    <row r="110" s="75" customFormat="1" ht="15" hidden="1" customHeight="1" x14ac:dyDescent="0.2"/>
    <row r="111" s="75" customFormat="1" ht="15" hidden="1" customHeight="1" x14ac:dyDescent="0.2"/>
    <row r="112" s="75" customFormat="1" ht="15" hidden="1" customHeight="1" x14ac:dyDescent="0.2"/>
    <row r="113" s="75" customFormat="1" ht="15" hidden="1" customHeight="1" x14ac:dyDescent="0.2"/>
    <row r="114" s="75" customFormat="1" ht="15" hidden="1" customHeight="1" x14ac:dyDescent="0.2"/>
    <row r="115" s="75" customFormat="1" ht="15" hidden="1" customHeight="1" x14ac:dyDescent="0.2"/>
    <row r="116" s="75" customFormat="1" ht="15" hidden="1" customHeight="1" x14ac:dyDescent="0.2"/>
    <row r="117" s="75" customFormat="1" ht="15" hidden="1" customHeight="1" x14ac:dyDescent="0.2"/>
    <row r="118" s="75" customFormat="1" ht="15" hidden="1" customHeight="1" x14ac:dyDescent="0.2"/>
    <row r="119" s="75" customFormat="1" ht="15" hidden="1" customHeight="1" x14ac:dyDescent="0.2"/>
    <row r="120" s="75" customFormat="1" ht="15" hidden="1" customHeight="1" x14ac:dyDescent="0.2"/>
    <row r="121" s="75" customFormat="1" ht="15" hidden="1" customHeight="1" x14ac:dyDescent="0.2"/>
    <row r="122" s="75" customFormat="1" ht="15" hidden="1" customHeight="1" x14ac:dyDescent="0.2"/>
    <row r="123" s="75" customFormat="1" ht="15" hidden="1" customHeight="1" x14ac:dyDescent="0.2"/>
    <row r="124" s="75" customFormat="1" ht="15" hidden="1" customHeight="1" x14ac:dyDescent="0.2"/>
    <row r="125" s="75" customFormat="1" ht="15" hidden="1" customHeight="1" x14ac:dyDescent="0.2"/>
    <row r="126" s="75" customFormat="1" ht="15" hidden="1" customHeight="1" x14ac:dyDescent="0.2"/>
    <row r="127" s="75" customFormat="1" ht="15" hidden="1" customHeight="1" x14ac:dyDescent="0.2"/>
    <row r="128" s="75" customFormat="1" ht="15" hidden="1" customHeight="1" x14ac:dyDescent="0.2"/>
    <row r="129" s="75" customFormat="1" ht="15" hidden="1" customHeight="1" x14ac:dyDescent="0.2"/>
    <row r="130" s="75" customFormat="1" ht="15" hidden="1" customHeight="1" x14ac:dyDescent="0.2"/>
    <row r="131" s="75" customFormat="1" ht="15" hidden="1" customHeight="1" x14ac:dyDescent="0.2"/>
    <row r="132" s="75" customFormat="1" ht="15" hidden="1" customHeight="1" x14ac:dyDescent="0.2"/>
    <row r="133" s="75" customFormat="1" ht="15" hidden="1" customHeight="1" x14ac:dyDescent="0.2"/>
    <row r="134" s="75" customFormat="1" ht="15" hidden="1" customHeight="1" x14ac:dyDescent="0.2"/>
    <row r="135" s="75" customFormat="1" ht="15" hidden="1" customHeight="1" x14ac:dyDescent="0.2"/>
    <row r="136" s="75" customFormat="1" ht="15" hidden="1" customHeight="1" x14ac:dyDescent="0.2"/>
    <row r="137" s="75" customFormat="1" ht="15" hidden="1" customHeight="1" x14ac:dyDescent="0.2"/>
    <row r="138" s="75" customFormat="1" ht="15" hidden="1" customHeight="1" x14ac:dyDescent="0.2"/>
    <row r="139" s="75" customFormat="1" ht="15" hidden="1" customHeight="1" x14ac:dyDescent="0.2"/>
    <row r="140" s="75" customFormat="1" ht="15" hidden="1" customHeight="1" x14ac:dyDescent="0.2"/>
    <row r="141" s="75" customFormat="1" ht="15" hidden="1" customHeight="1" x14ac:dyDescent="0.2"/>
    <row r="142" s="75" customFormat="1" ht="15" hidden="1" customHeight="1" x14ac:dyDescent="0.2"/>
    <row r="143" s="75" customFormat="1" ht="15" hidden="1" customHeight="1" x14ac:dyDescent="0.2"/>
    <row r="144" s="75" customFormat="1" ht="15" hidden="1" customHeight="1" x14ac:dyDescent="0.2"/>
    <row r="145" s="75" customFormat="1" ht="15" hidden="1" customHeight="1" x14ac:dyDescent="0.2"/>
    <row r="146" s="75" customFormat="1" ht="15" hidden="1" customHeight="1" x14ac:dyDescent="0.2"/>
    <row r="147" s="75" customFormat="1" ht="15" hidden="1" customHeight="1" x14ac:dyDescent="0.2"/>
    <row r="148" s="75" customFormat="1" ht="15" hidden="1" customHeight="1" x14ac:dyDescent="0.2"/>
    <row r="149" s="75" customFormat="1" ht="15" hidden="1" customHeight="1" x14ac:dyDescent="0.2"/>
    <row r="150" s="75" customFormat="1" ht="15" hidden="1" customHeight="1" x14ac:dyDescent="0.2"/>
    <row r="151" s="75" customFormat="1" ht="15" hidden="1" customHeight="1" x14ac:dyDescent="0.2"/>
    <row r="152" s="75" customFormat="1" ht="15" hidden="1" customHeight="1" x14ac:dyDescent="0.2"/>
    <row r="153" s="75" customFormat="1" ht="15" hidden="1" customHeight="1" x14ac:dyDescent="0.2"/>
    <row r="154" s="75" customFormat="1" ht="15" hidden="1" customHeight="1" x14ac:dyDescent="0.2"/>
    <row r="155" s="75" customFormat="1" ht="15" hidden="1" customHeight="1" x14ac:dyDescent="0.2"/>
    <row r="156" s="75" customFormat="1" ht="15" hidden="1" customHeight="1" x14ac:dyDescent="0.2"/>
    <row r="157" s="75" customFormat="1" ht="15" hidden="1" customHeight="1" x14ac:dyDescent="0.2"/>
    <row r="158" s="75" customFormat="1" ht="15" hidden="1" customHeight="1" x14ac:dyDescent="0.2"/>
    <row r="159" s="75" customFormat="1" ht="15" hidden="1" customHeight="1" x14ac:dyDescent="0.2"/>
    <row r="160" s="75" customFormat="1" ht="15" hidden="1" customHeight="1" x14ac:dyDescent="0.2"/>
    <row r="161" s="75" customFormat="1" ht="15" hidden="1" customHeight="1" x14ac:dyDescent="0.2"/>
    <row r="162" s="75" customFormat="1" ht="15" hidden="1" customHeight="1" x14ac:dyDescent="0.2"/>
    <row r="163" s="75" customFormat="1" ht="15" hidden="1" customHeight="1" x14ac:dyDescent="0.2"/>
    <row r="164" s="75" customFormat="1" ht="15" hidden="1" customHeight="1" x14ac:dyDescent="0.2"/>
    <row r="165" s="75" customFormat="1" ht="15" hidden="1" customHeight="1" x14ac:dyDescent="0.2"/>
    <row r="166" s="75" customFormat="1" ht="15" hidden="1" customHeight="1" x14ac:dyDescent="0.2"/>
    <row r="167" s="75" customFormat="1" ht="15" hidden="1" customHeight="1" x14ac:dyDescent="0.2"/>
    <row r="168" s="75" customFormat="1" ht="15" hidden="1" customHeight="1" x14ac:dyDescent="0.2"/>
    <row r="169" s="75" customFormat="1" ht="15" hidden="1" customHeight="1" x14ac:dyDescent="0.2"/>
    <row r="170" s="75" customFormat="1" ht="15" hidden="1" customHeight="1" x14ac:dyDescent="0.2"/>
    <row r="171" s="75" customFormat="1" ht="15" hidden="1" customHeight="1" x14ac:dyDescent="0.2"/>
    <row r="172" s="75" customFormat="1" ht="15" hidden="1" customHeight="1" x14ac:dyDescent="0.2"/>
    <row r="173" s="75" customFormat="1" ht="15" hidden="1" customHeight="1" x14ac:dyDescent="0.2"/>
    <row r="174" s="75" customFormat="1" ht="15" hidden="1" customHeight="1" x14ac:dyDescent="0.2"/>
    <row r="175" s="75" customFormat="1" ht="15" hidden="1" customHeight="1" x14ac:dyDescent="0.2"/>
    <row r="176" s="75" customFormat="1" ht="15" hidden="1" customHeight="1" x14ac:dyDescent="0.2"/>
    <row r="177" s="75" customFormat="1" ht="15" hidden="1" customHeight="1" x14ac:dyDescent="0.2"/>
    <row r="178" s="75" customFormat="1" ht="15" hidden="1" customHeight="1" x14ac:dyDescent="0.2"/>
    <row r="179" s="75" customFormat="1" ht="15" hidden="1" customHeight="1" x14ac:dyDescent="0.2"/>
    <row r="180" s="75" customFormat="1" ht="15" hidden="1" customHeight="1" x14ac:dyDescent="0.2"/>
    <row r="181" s="75" customFormat="1" ht="15" hidden="1" customHeight="1" x14ac:dyDescent="0.2"/>
    <row r="182" s="75" customFormat="1" ht="15" hidden="1" customHeight="1" x14ac:dyDescent="0.2"/>
    <row r="183" s="75" customFormat="1" ht="15" hidden="1" customHeight="1" x14ac:dyDescent="0.2"/>
    <row r="184" s="75" customFormat="1" ht="15" hidden="1" customHeight="1" x14ac:dyDescent="0.2"/>
    <row r="185" s="75" customFormat="1" ht="15" hidden="1" customHeight="1" x14ac:dyDescent="0.2"/>
    <row r="186" s="75" customFormat="1" ht="15" hidden="1" customHeight="1" x14ac:dyDescent="0.2"/>
    <row r="187" s="75" customFormat="1" ht="15" hidden="1" customHeight="1" x14ac:dyDescent="0.2"/>
    <row r="188" s="75" customFormat="1" ht="15" hidden="1" customHeight="1" x14ac:dyDescent="0.2"/>
    <row r="189" s="75" customFormat="1" ht="15" hidden="1" customHeight="1" x14ac:dyDescent="0.2"/>
    <row r="190" s="75" customFormat="1" ht="15" hidden="1" customHeight="1" x14ac:dyDescent="0.2"/>
    <row r="191" s="75" customFormat="1" ht="15" hidden="1" customHeight="1" x14ac:dyDescent="0.2"/>
    <row r="192" s="75" customFormat="1" ht="15" hidden="1" customHeight="1" x14ac:dyDescent="0.2"/>
    <row r="193" s="75" customFormat="1" ht="15" hidden="1" customHeight="1" x14ac:dyDescent="0.2"/>
    <row r="194" s="75" customFormat="1" ht="15" hidden="1" customHeight="1" x14ac:dyDescent="0.2"/>
    <row r="195" s="75" customFormat="1" ht="15" hidden="1" customHeight="1" x14ac:dyDescent="0.2"/>
    <row r="196" s="75" customFormat="1" ht="15" hidden="1" customHeight="1" x14ac:dyDescent="0.2"/>
    <row r="197" s="75" customFormat="1" ht="15" hidden="1" customHeight="1" x14ac:dyDescent="0.2"/>
    <row r="198" s="75" customFormat="1" ht="15" hidden="1" customHeight="1" x14ac:dyDescent="0.2"/>
    <row r="199" s="75" customFormat="1" ht="15" hidden="1" customHeight="1" x14ac:dyDescent="0.2"/>
  </sheetData>
  <mergeCells count="12">
    <mergeCell ref="B2:F2"/>
    <mergeCell ref="G2:H2"/>
    <mergeCell ref="B3:F3"/>
    <mergeCell ref="B7:C7"/>
    <mergeCell ref="E7:F7"/>
    <mergeCell ref="B25:C25"/>
    <mergeCell ref="B31:F31"/>
    <mergeCell ref="E8:F8"/>
    <mergeCell ref="E11:F11"/>
    <mergeCell ref="E18:F18"/>
    <mergeCell ref="B19:C19"/>
    <mergeCell ref="B24:C24"/>
  </mergeCells>
  <pageMargins left="0.3" right="0.3" top="0.4" bottom="0.4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B4FFF"/>
    <pageSetUpPr fitToPage="1"/>
  </sheetPr>
  <dimension ref="B2:AW199"/>
  <sheetViews>
    <sheetView showGridLines="0" zoomScale="150" zoomScaleNormal="150" workbookViewId="0">
      <pane xSplit="1" ySplit="15" topLeftCell="B41" activePane="bottomRight" state="frozen"/>
      <selection pane="topRight" activeCell="B1" sqref="B1"/>
      <selection pane="bottomLeft" activeCell="A16" sqref="A16"/>
      <selection pane="bottomRight" activeCell="AY49" sqref="AY49"/>
    </sheetView>
  </sheetViews>
  <sheetFormatPr baseColWidth="10" defaultColWidth="8.6640625" defaultRowHeight="15" x14ac:dyDescent="0.2"/>
  <cols>
    <col min="1" max="1" width="2" style="75" customWidth="1"/>
    <col min="2" max="2" width="24" style="75" customWidth="1"/>
    <col min="3" max="3" width="35" style="75" customWidth="1"/>
    <col min="4" max="4" width="8" style="75" customWidth="1"/>
    <col min="5" max="5" width="14" style="75" customWidth="1"/>
    <col min="6" max="6" width="11" style="75" customWidth="1"/>
    <col min="7" max="7" width="12" style="75" customWidth="1"/>
    <col min="8" max="8" width="13" style="75" customWidth="1"/>
    <col min="9" max="9" width="6" style="75" customWidth="1"/>
    <col min="10" max="10" width="14" style="100" customWidth="1"/>
    <col min="11" max="11" width="2" style="75" hidden="1" customWidth="1"/>
    <col min="12" max="49" width="13" style="75" hidden="1" customWidth="1"/>
    <col min="50" max="16384" width="8.6640625" style="75"/>
  </cols>
  <sheetData>
    <row r="2" spans="2:10" ht="31" customHeight="1" x14ac:dyDescent="0.2">
      <c r="B2" s="103" t="s">
        <v>84</v>
      </c>
      <c r="C2" s="103"/>
      <c r="D2" s="103"/>
      <c r="E2" s="103"/>
      <c r="F2" s="103"/>
      <c r="G2" s="103"/>
      <c r="H2" s="103"/>
      <c r="I2" s="104" t="s">
        <v>37</v>
      </c>
      <c r="J2" s="104"/>
    </row>
    <row r="3" spans="2:10" ht="12.75" customHeight="1" x14ac:dyDescent="0.2">
      <c r="B3" s="105" t="s">
        <v>85</v>
      </c>
      <c r="C3" s="105"/>
      <c r="D3" s="105"/>
      <c r="E3" s="105"/>
      <c r="F3" s="105"/>
      <c r="G3" s="105"/>
      <c r="H3" s="105"/>
      <c r="I3" s="76"/>
      <c r="J3" s="97" t="s">
        <v>39</v>
      </c>
    </row>
    <row r="4" spans="2:10" ht="12.75" customHeight="1" x14ac:dyDescent="0.2">
      <c r="B4" s="78"/>
      <c r="C4" s="79"/>
      <c r="D4" s="79"/>
      <c r="E4" s="79"/>
      <c r="F4" s="79"/>
      <c r="G4" s="79"/>
      <c r="H4" s="79"/>
      <c r="I4" s="80"/>
      <c r="J4" s="97" t="s">
        <v>40</v>
      </c>
    </row>
    <row r="5" spans="2:10" ht="12.75" customHeight="1" x14ac:dyDescent="0.2">
      <c r="B5" s="81"/>
      <c r="I5" s="82"/>
      <c r="J5" s="97" t="s">
        <v>41</v>
      </c>
    </row>
    <row r="6" spans="2:10" ht="21.75" customHeight="1" x14ac:dyDescent="0.2">
      <c r="B6" s="127" t="s">
        <v>86</v>
      </c>
      <c r="C6" s="127"/>
      <c r="D6" s="127"/>
      <c r="E6" s="127"/>
      <c r="F6" s="127"/>
      <c r="G6" s="127"/>
      <c r="H6" s="127"/>
      <c r="J6" s="98"/>
    </row>
    <row r="7" spans="2:10" ht="21.75" customHeight="1" x14ac:dyDescent="0.2">
      <c r="B7" s="125" t="s">
        <v>87</v>
      </c>
      <c r="C7" s="125"/>
      <c r="D7" s="125"/>
      <c r="E7" s="125"/>
      <c r="F7" s="125"/>
      <c r="G7" s="125"/>
      <c r="H7" s="125"/>
      <c r="J7" s="98"/>
    </row>
    <row r="8" spans="2:10" ht="21.75" customHeight="1" x14ac:dyDescent="0.2">
      <c r="B8" s="125" t="s">
        <v>88</v>
      </c>
      <c r="C8" s="125"/>
      <c r="D8" s="125"/>
      <c r="E8" s="125"/>
      <c r="F8" s="125"/>
      <c r="G8" s="125"/>
      <c r="H8" s="125"/>
      <c r="J8" s="98"/>
    </row>
    <row r="9" spans="2:10" ht="21.75" customHeight="1" x14ac:dyDescent="0.2">
      <c r="B9" s="125" t="s">
        <v>89</v>
      </c>
      <c r="C9" s="125"/>
      <c r="D9" s="125"/>
      <c r="E9" s="125"/>
      <c r="F9" s="125"/>
      <c r="G9" s="125"/>
      <c r="H9" s="125"/>
      <c r="J9" s="98"/>
    </row>
    <row r="10" spans="2:10" ht="21.75" customHeight="1" x14ac:dyDescent="0.2">
      <c r="B10" s="125" t="s">
        <v>90</v>
      </c>
      <c r="C10" s="125"/>
      <c r="D10" s="125"/>
      <c r="E10" s="125"/>
      <c r="F10" s="125"/>
      <c r="G10" s="125"/>
      <c r="H10" s="125"/>
      <c r="J10" s="98"/>
    </row>
    <row r="11" spans="2:10" ht="21.75" customHeight="1" x14ac:dyDescent="0.2">
      <c r="B11" s="125" t="s">
        <v>91</v>
      </c>
      <c r="C11" s="125"/>
      <c r="D11" s="125"/>
      <c r="E11" s="125"/>
      <c r="F11" s="125"/>
      <c r="G11" s="125"/>
      <c r="H11" s="125"/>
      <c r="J11" s="98"/>
    </row>
    <row r="12" spans="2:10" ht="15" customHeight="1" x14ac:dyDescent="0.2">
      <c r="B12" s="81"/>
      <c r="J12" s="98"/>
    </row>
    <row r="13" spans="2:10" ht="21.75" customHeight="1" x14ac:dyDescent="0.2">
      <c r="B13" s="19" t="s">
        <v>92</v>
      </c>
      <c r="C13" s="20">
        <f ca="1">TODAY()</f>
        <v>46156</v>
      </c>
      <c r="D13" s="21" t="s">
        <v>93</v>
      </c>
      <c r="E13" s="22">
        <f ca="1">TODAY()-C13</f>
        <v>0</v>
      </c>
      <c r="F13" s="21" t="s">
        <v>94</v>
      </c>
      <c r="G13" s="126" t="str">
        <f ca="1">IF(C13="","Set date",IF(TODAY()-C13&lt;=30,"✓ Up to date",IF(TODAY()-C13&lt;=60,"⚠ Review soon","✗ OVERDUE — review now")))</f>
        <v>✓ Up to date</v>
      </c>
      <c r="H13" s="126"/>
      <c r="J13" s="98"/>
    </row>
    <row r="14" spans="2:10" ht="15" customHeight="1" x14ac:dyDescent="0.2">
      <c r="B14" s="81"/>
      <c r="J14" s="98"/>
    </row>
    <row r="15" spans="2:10" ht="25.5" customHeight="1" x14ac:dyDescent="0.2">
      <c r="B15" s="23" t="s">
        <v>95</v>
      </c>
      <c r="C15" s="24" t="s">
        <v>96</v>
      </c>
      <c r="D15" s="24" t="s">
        <v>97</v>
      </c>
      <c r="E15" s="24" t="s">
        <v>98</v>
      </c>
      <c r="F15" s="24" t="s">
        <v>99</v>
      </c>
      <c r="G15" s="24" t="s">
        <v>100</v>
      </c>
      <c r="H15" s="24" t="s">
        <v>101</v>
      </c>
      <c r="J15" s="98"/>
    </row>
    <row r="16" spans="2:10" ht="18" customHeight="1" x14ac:dyDescent="0.2">
      <c r="B16" s="25" t="s">
        <v>102</v>
      </c>
      <c r="C16" s="26" t="s">
        <v>103</v>
      </c>
      <c r="D16" s="27" t="s">
        <v>104</v>
      </c>
      <c r="E16" s="12">
        <v>0.65</v>
      </c>
      <c r="F16" s="13">
        <v>0.2</v>
      </c>
      <c r="G16" s="28">
        <f t="shared" ref="G16:G47" si="0">E16*(1+F16)</f>
        <v>0.78</v>
      </c>
      <c r="H16" s="29" t="s">
        <v>105</v>
      </c>
      <c r="J16" s="98"/>
    </row>
    <row r="17" spans="2:10" ht="18" customHeight="1" x14ac:dyDescent="0.2">
      <c r="B17" s="30" t="s">
        <v>102</v>
      </c>
      <c r="C17" s="31" t="s">
        <v>106</v>
      </c>
      <c r="D17" s="32" t="s">
        <v>104</v>
      </c>
      <c r="E17" s="12">
        <v>0.85</v>
      </c>
      <c r="F17" s="13">
        <v>0.2</v>
      </c>
      <c r="G17" s="33">
        <f t="shared" si="0"/>
        <v>1.02</v>
      </c>
      <c r="H17" s="34" t="s">
        <v>105</v>
      </c>
      <c r="J17" s="98"/>
    </row>
    <row r="18" spans="2:10" ht="18" customHeight="1" x14ac:dyDescent="0.2">
      <c r="B18" s="25" t="s">
        <v>102</v>
      </c>
      <c r="C18" s="26" t="s">
        <v>107</v>
      </c>
      <c r="D18" s="27" t="s">
        <v>104</v>
      </c>
      <c r="E18" s="12">
        <v>1.2</v>
      </c>
      <c r="F18" s="13">
        <v>0.2</v>
      </c>
      <c r="G18" s="28">
        <f t="shared" si="0"/>
        <v>1.44</v>
      </c>
      <c r="H18" s="29" t="s">
        <v>105</v>
      </c>
      <c r="J18" s="98"/>
    </row>
    <row r="19" spans="2:10" ht="18" customHeight="1" x14ac:dyDescent="0.2">
      <c r="B19" s="30" t="s">
        <v>102</v>
      </c>
      <c r="C19" s="31" t="s">
        <v>108</v>
      </c>
      <c r="D19" s="32" t="s">
        <v>104</v>
      </c>
      <c r="E19" s="12">
        <v>2.1</v>
      </c>
      <c r="F19" s="13">
        <v>0.2</v>
      </c>
      <c r="G19" s="33">
        <f t="shared" si="0"/>
        <v>2.52</v>
      </c>
      <c r="H19" s="34" t="s">
        <v>105</v>
      </c>
      <c r="J19" s="98"/>
    </row>
    <row r="20" spans="2:10" ht="18" customHeight="1" x14ac:dyDescent="0.2">
      <c r="B20" s="25" t="s">
        <v>102</v>
      </c>
      <c r="C20" s="26" t="s">
        <v>109</v>
      </c>
      <c r="D20" s="27" t="s">
        <v>104</v>
      </c>
      <c r="E20" s="12">
        <v>3.4</v>
      </c>
      <c r="F20" s="13">
        <v>0.2</v>
      </c>
      <c r="G20" s="28">
        <f t="shared" si="0"/>
        <v>4.08</v>
      </c>
      <c r="H20" s="29" t="s">
        <v>105</v>
      </c>
      <c r="J20" s="98"/>
    </row>
    <row r="21" spans="2:10" ht="18" customHeight="1" x14ac:dyDescent="0.2">
      <c r="B21" s="30" t="s">
        <v>102</v>
      </c>
      <c r="C21" s="31" t="s">
        <v>110</v>
      </c>
      <c r="D21" s="32" t="s">
        <v>104</v>
      </c>
      <c r="E21" s="12">
        <v>5.5</v>
      </c>
      <c r="F21" s="13">
        <v>0.2</v>
      </c>
      <c r="G21" s="33">
        <f t="shared" si="0"/>
        <v>6.6</v>
      </c>
      <c r="H21" s="34" t="s">
        <v>105</v>
      </c>
      <c r="J21" s="98"/>
    </row>
    <row r="22" spans="2:10" ht="18" customHeight="1" x14ac:dyDescent="0.2">
      <c r="B22" s="25" t="s">
        <v>102</v>
      </c>
      <c r="C22" s="26" t="s">
        <v>111</v>
      </c>
      <c r="D22" s="27" t="s">
        <v>104</v>
      </c>
      <c r="E22" s="12">
        <v>3.2</v>
      </c>
      <c r="F22" s="13">
        <v>0.2</v>
      </c>
      <c r="G22" s="28">
        <f t="shared" si="0"/>
        <v>3.84</v>
      </c>
      <c r="H22" s="29" t="s">
        <v>105</v>
      </c>
      <c r="J22" s="98"/>
    </row>
    <row r="23" spans="2:10" ht="18" customHeight="1" x14ac:dyDescent="0.2">
      <c r="B23" s="30" t="s">
        <v>102</v>
      </c>
      <c r="C23" s="31" t="s">
        <v>112</v>
      </c>
      <c r="D23" s="32" t="s">
        <v>104</v>
      </c>
      <c r="E23" s="12">
        <v>4.5</v>
      </c>
      <c r="F23" s="13">
        <v>0.2</v>
      </c>
      <c r="G23" s="33">
        <f t="shared" si="0"/>
        <v>5.3999999999999995</v>
      </c>
      <c r="H23" s="34" t="s">
        <v>105</v>
      </c>
      <c r="J23" s="98"/>
    </row>
    <row r="24" spans="2:10" ht="18" customHeight="1" x14ac:dyDescent="0.2">
      <c r="B24" s="25" t="s">
        <v>102</v>
      </c>
      <c r="C24" s="26" t="s">
        <v>113</v>
      </c>
      <c r="D24" s="27" t="s">
        <v>104</v>
      </c>
      <c r="E24" s="12">
        <v>1.4</v>
      </c>
      <c r="F24" s="13">
        <v>0.2</v>
      </c>
      <c r="G24" s="28">
        <f t="shared" si="0"/>
        <v>1.68</v>
      </c>
      <c r="H24" s="29" t="s">
        <v>105</v>
      </c>
      <c r="J24" s="98"/>
    </row>
    <row r="25" spans="2:10" ht="18" customHeight="1" x14ac:dyDescent="0.2">
      <c r="B25" s="30" t="s">
        <v>102</v>
      </c>
      <c r="C25" s="31" t="s">
        <v>114</v>
      </c>
      <c r="D25" s="32" t="s">
        <v>104</v>
      </c>
      <c r="E25" s="12">
        <v>2.2000000000000002</v>
      </c>
      <c r="F25" s="13">
        <v>0.2</v>
      </c>
      <c r="G25" s="33">
        <f t="shared" si="0"/>
        <v>2.64</v>
      </c>
      <c r="H25" s="34" t="s">
        <v>105</v>
      </c>
      <c r="J25" s="98"/>
    </row>
    <row r="26" spans="2:10" ht="18" customHeight="1" x14ac:dyDescent="0.2">
      <c r="B26" s="25" t="s">
        <v>115</v>
      </c>
      <c r="C26" s="26" t="s">
        <v>116</v>
      </c>
      <c r="D26" s="27" t="s">
        <v>117</v>
      </c>
      <c r="E26" s="12">
        <v>2.2000000000000002</v>
      </c>
      <c r="F26" s="13">
        <v>0.25</v>
      </c>
      <c r="G26" s="28">
        <f t="shared" si="0"/>
        <v>2.75</v>
      </c>
      <c r="H26" s="29" t="s">
        <v>105</v>
      </c>
      <c r="J26" s="98"/>
    </row>
    <row r="27" spans="2:10" ht="18" customHeight="1" x14ac:dyDescent="0.2">
      <c r="B27" s="30" t="s">
        <v>115</v>
      </c>
      <c r="C27" s="31" t="s">
        <v>118</v>
      </c>
      <c r="D27" s="32" t="s">
        <v>117</v>
      </c>
      <c r="E27" s="12">
        <v>3.4</v>
      </c>
      <c r="F27" s="13">
        <v>0.25</v>
      </c>
      <c r="G27" s="33">
        <f t="shared" si="0"/>
        <v>4.25</v>
      </c>
      <c r="H27" s="34" t="s">
        <v>105</v>
      </c>
      <c r="J27" s="98"/>
    </row>
    <row r="28" spans="2:10" ht="18" customHeight="1" x14ac:dyDescent="0.2">
      <c r="B28" s="25" t="s">
        <v>115</v>
      </c>
      <c r="C28" s="26" t="s">
        <v>119</v>
      </c>
      <c r="D28" s="27" t="s">
        <v>117</v>
      </c>
      <c r="E28" s="12">
        <v>18</v>
      </c>
      <c r="F28" s="13">
        <v>0.25</v>
      </c>
      <c r="G28" s="28">
        <f t="shared" si="0"/>
        <v>22.5</v>
      </c>
      <c r="H28" s="29" t="s">
        <v>105</v>
      </c>
      <c r="J28" s="98"/>
    </row>
    <row r="29" spans="2:10" ht="18" customHeight="1" x14ac:dyDescent="0.2">
      <c r="B29" s="30" t="s">
        <v>115</v>
      </c>
      <c r="C29" s="31" t="s">
        <v>120</v>
      </c>
      <c r="D29" s="32" t="s">
        <v>117</v>
      </c>
      <c r="E29" s="12">
        <v>1.8</v>
      </c>
      <c r="F29" s="13">
        <v>0.25</v>
      </c>
      <c r="G29" s="33">
        <f t="shared" si="0"/>
        <v>2.25</v>
      </c>
      <c r="H29" s="34" t="s">
        <v>105</v>
      </c>
      <c r="J29" s="98"/>
    </row>
    <row r="30" spans="2:10" ht="18" customHeight="1" x14ac:dyDescent="0.2">
      <c r="B30" s="25" t="s">
        <v>115</v>
      </c>
      <c r="C30" s="26" t="s">
        <v>121</v>
      </c>
      <c r="D30" s="27" t="s">
        <v>117</v>
      </c>
      <c r="E30" s="12">
        <v>2.4</v>
      </c>
      <c r="F30" s="13">
        <v>0.25</v>
      </c>
      <c r="G30" s="28">
        <f t="shared" si="0"/>
        <v>3</v>
      </c>
      <c r="H30" s="29" t="s">
        <v>105</v>
      </c>
      <c r="J30" s="98"/>
    </row>
    <row r="31" spans="2:10" ht="18" customHeight="1" x14ac:dyDescent="0.2">
      <c r="B31" s="30" t="s">
        <v>115</v>
      </c>
      <c r="C31" s="31" t="s">
        <v>122</v>
      </c>
      <c r="D31" s="32" t="s">
        <v>117</v>
      </c>
      <c r="E31" s="12">
        <v>4.5</v>
      </c>
      <c r="F31" s="13">
        <v>0.25</v>
      </c>
      <c r="G31" s="33">
        <f t="shared" si="0"/>
        <v>5.625</v>
      </c>
      <c r="H31" s="34" t="s">
        <v>105</v>
      </c>
      <c r="J31" s="98"/>
    </row>
    <row r="32" spans="2:10" ht="18" customHeight="1" x14ac:dyDescent="0.2">
      <c r="B32" s="25" t="s">
        <v>115</v>
      </c>
      <c r="C32" s="26" t="s">
        <v>123</v>
      </c>
      <c r="D32" s="27" t="s">
        <v>117</v>
      </c>
      <c r="E32" s="12">
        <v>9.5</v>
      </c>
      <c r="F32" s="13">
        <v>0.25</v>
      </c>
      <c r="G32" s="28">
        <f t="shared" si="0"/>
        <v>11.875</v>
      </c>
      <c r="H32" s="29" t="s">
        <v>105</v>
      </c>
      <c r="J32" s="98"/>
    </row>
    <row r="33" spans="2:10" ht="18" customHeight="1" x14ac:dyDescent="0.2">
      <c r="B33" s="30" t="s">
        <v>115</v>
      </c>
      <c r="C33" s="31" t="s">
        <v>124</v>
      </c>
      <c r="D33" s="32" t="s">
        <v>117</v>
      </c>
      <c r="E33" s="12">
        <v>4.2</v>
      </c>
      <c r="F33" s="13">
        <v>0.25</v>
      </c>
      <c r="G33" s="33">
        <f t="shared" si="0"/>
        <v>5.25</v>
      </c>
      <c r="H33" s="34" t="s">
        <v>105</v>
      </c>
      <c r="J33" s="98"/>
    </row>
    <row r="34" spans="2:10" ht="18" customHeight="1" x14ac:dyDescent="0.2">
      <c r="B34" s="25" t="s">
        <v>115</v>
      </c>
      <c r="C34" s="26" t="s">
        <v>125</v>
      </c>
      <c r="D34" s="27" t="s">
        <v>117</v>
      </c>
      <c r="E34" s="12">
        <v>14</v>
      </c>
      <c r="F34" s="13">
        <v>0.25</v>
      </c>
      <c r="G34" s="28">
        <f t="shared" si="0"/>
        <v>17.5</v>
      </c>
      <c r="H34" s="29" t="s">
        <v>105</v>
      </c>
      <c r="J34" s="98"/>
    </row>
    <row r="35" spans="2:10" ht="18" customHeight="1" x14ac:dyDescent="0.2">
      <c r="B35" s="30" t="s">
        <v>126</v>
      </c>
      <c r="C35" s="31" t="s">
        <v>127</v>
      </c>
      <c r="D35" s="32" t="s">
        <v>117</v>
      </c>
      <c r="E35" s="12">
        <v>8.5</v>
      </c>
      <c r="F35" s="13">
        <v>0.25</v>
      </c>
      <c r="G35" s="33">
        <f t="shared" si="0"/>
        <v>10.625</v>
      </c>
      <c r="H35" s="34" t="s">
        <v>105</v>
      </c>
      <c r="J35" s="98"/>
    </row>
    <row r="36" spans="2:10" ht="18" customHeight="1" x14ac:dyDescent="0.2">
      <c r="B36" s="25" t="s">
        <v>126</v>
      </c>
      <c r="C36" s="26" t="s">
        <v>128</v>
      </c>
      <c r="D36" s="27" t="s">
        <v>117</v>
      </c>
      <c r="E36" s="12">
        <v>2.2000000000000002</v>
      </c>
      <c r="F36" s="13">
        <v>0.25</v>
      </c>
      <c r="G36" s="28">
        <f t="shared" si="0"/>
        <v>2.75</v>
      </c>
      <c r="H36" s="29" t="s">
        <v>105</v>
      </c>
      <c r="J36" s="98"/>
    </row>
    <row r="37" spans="2:10" ht="18" customHeight="1" x14ac:dyDescent="0.2">
      <c r="B37" s="30" t="s">
        <v>126</v>
      </c>
      <c r="C37" s="31" t="s">
        <v>129</v>
      </c>
      <c r="D37" s="32" t="s">
        <v>117</v>
      </c>
      <c r="E37" s="12">
        <v>22</v>
      </c>
      <c r="F37" s="13">
        <v>0.2</v>
      </c>
      <c r="G37" s="33">
        <f t="shared" si="0"/>
        <v>26.4</v>
      </c>
      <c r="H37" s="34" t="s">
        <v>105</v>
      </c>
      <c r="J37" s="98"/>
    </row>
    <row r="38" spans="2:10" ht="18" customHeight="1" x14ac:dyDescent="0.2">
      <c r="B38" s="25" t="s">
        <v>126</v>
      </c>
      <c r="C38" s="26" t="s">
        <v>130</v>
      </c>
      <c r="D38" s="27" t="s">
        <v>117</v>
      </c>
      <c r="E38" s="12">
        <v>32</v>
      </c>
      <c r="F38" s="13">
        <v>0.2</v>
      </c>
      <c r="G38" s="28">
        <f t="shared" si="0"/>
        <v>38.4</v>
      </c>
      <c r="H38" s="29" t="s">
        <v>105</v>
      </c>
      <c r="J38" s="98"/>
    </row>
    <row r="39" spans="2:10" ht="18" customHeight="1" x14ac:dyDescent="0.2">
      <c r="B39" s="30" t="s">
        <v>126</v>
      </c>
      <c r="C39" s="31" t="s">
        <v>131</v>
      </c>
      <c r="D39" s="32" t="s">
        <v>117</v>
      </c>
      <c r="E39" s="12">
        <v>28</v>
      </c>
      <c r="F39" s="13">
        <v>0.2</v>
      </c>
      <c r="G39" s="33">
        <f t="shared" si="0"/>
        <v>33.6</v>
      </c>
      <c r="H39" s="34" t="s">
        <v>105</v>
      </c>
      <c r="J39" s="98"/>
    </row>
    <row r="40" spans="2:10" ht="18" customHeight="1" x14ac:dyDescent="0.2">
      <c r="B40" s="25" t="s">
        <v>126</v>
      </c>
      <c r="C40" s="26" t="s">
        <v>132</v>
      </c>
      <c r="D40" s="27" t="s">
        <v>117</v>
      </c>
      <c r="E40" s="12">
        <v>38</v>
      </c>
      <c r="F40" s="13">
        <v>0.2</v>
      </c>
      <c r="G40" s="28">
        <f t="shared" si="0"/>
        <v>45.6</v>
      </c>
      <c r="H40" s="29" t="s">
        <v>105</v>
      </c>
      <c r="J40" s="98"/>
    </row>
    <row r="41" spans="2:10" ht="18" customHeight="1" x14ac:dyDescent="0.2">
      <c r="B41" s="30" t="s">
        <v>126</v>
      </c>
      <c r="C41" s="31" t="s">
        <v>133</v>
      </c>
      <c r="D41" s="32" t="s">
        <v>117</v>
      </c>
      <c r="E41" s="12">
        <v>24</v>
      </c>
      <c r="F41" s="13">
        <v>0.2</v>
      </c>
      <c r="G41" s="33">
        <f t="shared" si="0"/>
        <v>28.799999999999997</v>
      </c>
      <c r="H41" s="34" t="s">
        <v>105</v>
      </c>
      <c r="J41" s="98"/>
    </row>
    <row r="42" spans="2:10" ht="18" customHeight="1" x14ac:dyDescent="0.2">
      <c r="B42" s="25" t="s">
        <v>134</v>
      </c>
      <c r="C42" s="26" t="s">
        <v>135</v>
      </c>
      <c r="D42" s="27" t="s">
        <v>104</v>
      </c>
      <c r="E42" s="12">
        <v>1.1000000000000001</v>
      </c>
      <c r="F42" s="13">
        <v>0.2</v>
      </c>
      <c r="G42" s="28">
        <f t="shared" si="0"/>
        <v>1.32</v>
      </c>
      <c r="H42" s="29" t="s">
        <v>105</v>
      </c>
      <c r="J42" s="98"/>
    </row>
    <row r="43" spans="2:10" ht="18" customHeight="1" x14ac:dyDescent="0.2">
      <c r="B43" s="30" t="s">
        <v>134</v>
      </c>
      <c r="C43" s="31" t="s">
        <v>136</v>
      </c>
      <c r="D43" s="32" t="s">
        <v>104</v>
      </c>
      <c r="E43" s="12">
        <v>1.4</v>
      </c>
      <c r="F43" s="13">
        <v>0.2</v>
      </c>
      <c r="G43" s="33">
        <f t="shared" si="0"/>
        <v>1.68</v>
      </c>
      <c r="H43" s="34" t="s">
        <v>105</v>
      </c>
      <c r="J43" s="98"/>
    </row>
    <row r="44" spans="2:10" ht="18" customHeight="1" x14ac:dyDescent="0.2">
      <c r="B44" s="25" t="s">
        <v>134</v>
      </c>
      <c r="C44" s="26" t="s">
        <v>137</v>
      </c>
      <c r="D44" s="27" t="s">
        <v>104</v>
      </c>
      <c r="E44" s="12">
        <v>4.8</v>
      </c>
      <c r="F44" s="13">
        <v>0.2</v>
      </c>
      <c r="G44" s="28">
        <f t="shared" si="0"/>
        <v>5.76</v>
      </c>
      <c r="H44" s="29" t="s">
        <v>105</v>
      </c>
      <c r="J44" s="98"/>
    </row>
    <row r="45" spans="2:10" ht="18" customHeight="1" x14ac:dyDescent="0.2">
      <c r="B45" s="30" t="s">
        <v>134</v>
      </c>
      <c r="C45" s="31" t="s">
        <v>138</v>
      </c>
      <c r="D45" s="32" t="s">
        <v>104</v>
      </c>
      <c r="E45" s="12">
        <v>2.2000000000000002</v>
      </c>
      <c r="F45" s="13">
        <v>0.2</v>
      </c>
      <c r="G45" s="33">
        <f t="shared" si="0"/>
        <v>2.64</v>
      </c>
      <c r="H45" s="34" t="s">
        <v>105</v>
      </c>
      <c r="J45" s="98"/>
    </row>
    <row r="46" spans="2:10" ht="18" customHeight="1" x14ac:dyDescent="0.2">
      <c r="B46" s="25" t="s">
        <v>134</v>
      </c>
      <c r="C46" s="26" t="s">
        <v>139</v>
      </c>
      <c r="D46" s="27" t="s">
        <v>104</v>
      </c>
      <c r="E46" s="12">
        <v>5.5</v>
      </c>
      <c r="F46" s="13">
        <v>0.2</v>
      </c>
      <c r="G46" s="28">
        <f t="shared" si="0"/>
        <v>6.6</v>
      </c>
      <c r="H46" s="29" t="s">
        <v>105</v>
      </c>
      <c r="J46" s="98"/>
    </row>
    <row r="47" spans="2:10" ht="18" customHeight="1" x14ac:dyDescent="0.2">
      <c r="B47" s="30" t="s">
        <v>134</v>
      </c>
      <c r="C47" s="31" t="s">
        <v>140</v>
      </c>
      <c r="D47" s="32" t="s">
        <v>104</v>
      </c>
      <c r="E47" s="12">
        <v>7.5</v>
      </c>
      <c r="F47" s="13">
        <v>0.2</v>
      </c>
      <c r="G47" s="33">
        <f t="shared" si="0"/>
        <v>9</v>
      </c>
      <c r="H47" s="34" t="s">
        <v>105</v>
      </c>
      <c r="J47" s="98"/>
    </row>
    <row r="48" spans="2:10" ht="18" customHeight="1" x14ac:dyDescent="0.2">
      <c r="B48" s="25" t="s">
        <v>134</v>
      </c>
      <c r="C48" s="26" t="s">
        <v>141</v>
      </c>
      <c r="D48" s="27" t="s">
        <v>104</v>
      </c>
      <c r="E48" s="12">
        <v>4.8</v>
      </c>
      <c r="F48" s="13">
        <v>0.2</v>
      </c>
      <c r="G48" s="28">
        <f t="shared" ref="G48:G70" si="1">E48*(1+F48)</f>
        <v>5.76</v>
      </c>
      <c r="H48" s="29" t="s">
        <v>105</v>
      </c>
      <c r="J48" s="98"/>
    </row>
    <row r="49" spans="2:10" ht="18" customHeight="1" x14ac:dyDescent="0.2">
      <c r="B49" s="30" t="s">
        <v>142</v>
      </c>
      <c r="C49" s="31" t="s">
        <v>143</v>
      </c>
      <c r="D49" s="32" t="s">
        <v>117</v>
      </c>
      <c r="E49" s="12">
        <v>95</v>
      </c>
      <c r="F49" s="13">
        <v>0.15</v>
      </c>
      <c r="G49" s="33">
        <f t="shared" si="1"/>
        <v>109.24999999999999</v>
      </c>
      <c r="H49" s="34" t="s">
        <v>105</v>
      </c>
      <c r="J49" s="98"/>
    </row>
    <row r="50" spans="2:10" ht="18" customHeight="1" x14ac:dyDescent="0.2">
      <c r="B50" s="25" t="s">
        <v>142</v>
      </c>
      <c r="C50" s="26" t="s">
        <v>144</v>
      </c>
      <c r="D50" s="27" t="s">
        <v>117</v>
      </c>
      <c r="E50" s="12">
        <v>145</v>
      </c>
      <c r="F50" s="13">
        <v>0.15</v>
      </c>
      <c r="G50" s="28">
        <f t="shared" si="1"/>
        <v>166.75</v>
      </c>
      <c r="H50" s="29" t="s">
        <v>105</v>
      </c>
      <c r="J50" s="98"/>
    </row>
    <row r="51" spans="2:10" ht="18" customHeight="1" x14ac:dyDescent="0.2">
      <c r="B51" s="30" t="s">
        <v>142</v>
      </c>
      <c r="C51" s="31" t="s">
        <v>145</v>
      </c>
      <c r="D51" s="32" t="s">
        <v>117</v>
      </c>
      <c r="E51" s="12">
        <v>55</v>
      </c>
      <c r="F51" s="13">
        <v>0.15</v>
      </c>
      <c r="G51" s="33">
        <f t="shared" si="1"/>
        <v>63.249999999999993</v>
      </c>
      <c r="H51" s="34" t="s">
        <v>105</v>
      </c>
      <c r="J51" s="98"/>
    </row>
    <row r="52" spans="2:10" ht="18" customHeight="1" x14ac:dyDescent="0.2">
      <c r="B52" s="25" t="s">
        <v>142</v>
      </c>
      <c r="C52" s="26" t="s">
        <v>146</v>
      </c>
      <c r="D52" s="27" t="s">
        <v>117</v>
      </c>
      <c r="E52" s="12">
        <v>18</v>
      </c>
      <c r="F52" s="13">
        <v>0.2</v>
      </c>
      <c r="G52" s="28">
        <f t="shared" si="1"/>
        <v>21.599999999999998</v>
      </c>
      <c r="H52" s="29" t="s">
        <v>105</v>
      </c>
      <c r="J52" s="98"/>
    </row>
    <row r="53" spans="2:10" ht="18" customHeight="1" x14ac:dyDescent="0.2">
      <c r="B53" s="30" t="s">
        <v>142</v>
      </c>
      <c r="C53" s="31" t="s">
        <v>147</v>
      </c>
      <c r="D53" s="32" t="s">
        <v>117</v>
      </c>
      <c r="E53" s="12">
        <v>18</v>
      </c>
      <c r="F53" s="13">
        <v>0.2</v>
      </c>
      <c r="G53" s="33">
        <f t="shared" si="1"/>
        <v>21.599999999999998</v>
      </c>
      <c r="H53" s="34" t="s">
        <v>105</v>
      </c>
      <c r="J53" s="98"/>
    </row>
    <row r="54" spans="2:10" ht="18" customHeight="1" x14ac:dyDescent="0.2">
      <c r="B54" s="25" t="s">
        <v>142</v>
      </c>
      <c r="C54" s="26" t="s">
        <v>148</v>
      </c>
      <c r="D54" s="27" t="s">
        <v>117</v>
      </c>
      <c r="E54" s="12">
        <v>18.5</v>
      </c>
      <c r="F54" s="13">
        <v>0.2</v>
      </c>
      <c r="G54" s="28">
        <f t="shared" si="1"/>
        <v>22.2</v>
      </c>
      <c r="H54" s="29" t="s">
        <v>105</v>
      </c>
      <c r="J54" s="98"/>
    </row>
    <row r="55" spans="2:10" ht="18" customHeight="1" x14ac:dyDescent="0.2">
      <c r="B55" s="30" t="s">
        <v>142</v>
      </c>
      <c r="C55" s="31" t="s">
        <v>149</v>
      </c>
      <c r="D55" s="32" t="s">
        <v>117</v>
      </c>
      <c r="E55" s="12">
        <v>22</v>
      </c>
      <c r="F55" s="13">
        <v>0.2</v>
      </c>
      <c r="G55" s="33">
        <f t="shared" si="1"/>
        <v>26.4</v>
      </c>
      <c r="H55" s="34" t="s">
        <v>105</v>
      </c>
      <c r="J55" s="98"/>
    </row>
    <row r="56" spans="2:10" ht="18" customHeight="1" x14ac:dyDescent="0.2">
      <c r="B56" s="25" t="s">
        <v>142</v>
      </c>
      <c r="C56" s="26" t="s">
        <v>150</v>
      </c>
      <c r="D56" s="27" t="s">
        <v>117</v>
      </c>
      <c r="E56" s="12">
        <v>65</v>
      </c>
      <c r="F56" s="13">
        <v>0.15</v>
      </c>
      <c r="G56" s="28">
        <f t="shared" si="1"/>
        <v>74.75</v>
      </c>
      <c r="H56" s="29" t="s">
        <v>105</v>
      </c>
      <c r="J56" s="98"/>
    </row>
    <row r="57" spans="2:10" ht="18" customHeight="1" x14ac:dyDescent="0.2">
      <c r="B57" s="30" t="s">
        <v>142</v>
      </c>
      <c r="C57" s="31" t="s">
        <v>151</v>
      </c>
      <c r="D57" s="32" t="s">
        <v>117</v>
      </c>
      <c r="E57" s="12">
        <v>38</v>
      </c>
      <c r="F57" s="13">
        <v>0.2</v>
      </c>
      <c r="G57" s="33">
        <f t="shared" si="1"/>
        <v>45.6</v>
      </c>
      <c r="H57" s="34" t="s">
        <v>105</v>
      </c>
      <c r="J57" s="98"/>
    </row>
    <row r="58" spans="2:10" ht="18" customHeight="1" x14ac:dyDescent="0.2">
      <c r="B58" s="25" t="s">
        <v>152</v>
      </c>
      <c r="C58" s="26" t="s">
        <v>153</v>
      </c>
      <c r="D58" s="27" t="s">
        <v>117</v>
      </c>
      <c r="E58" s="12">
        <v>0.8</v>
      </c>
      <c r="F58" s="13">
        <v>0.25</v>
      </c>
      <c r="G58" s="28">
        <f t="shared" si="1"/>
        <v>1</v>
      </c>
      <c r="H58" s="29" t="s">
        <v>105</v>
      </c>
      <c r="J58" s="98"/>
    </row>
    <row r="59" spans="2:10" ht="18" customHeight="1" x14ac:dyDescent="0.2">
      <c r="B59" s="30" t="s">
        <v>152</v>
      </c>
      <c r="C59" s="31" t="s">
        <v>154</v>
      </c>
      <c r="D59" s="32" t="s">
        <v>117</v>
      </c>
      <c r="E59" s="12">
        <v>1.2</v>
      </c>
      <c r="F59" s="13">
        <v>0.25</v>
      </c>
      <c r="G59" s="33">
        <f t="shared" si="1"/>
        <v>1.5</v>
      </c>
      <c r="H59" s="34" t="s">
        <v>105</v>
      </c>
      <c r="J59" s="98"/>
    </row>
    <row r="60" spans="2:10" ht="18" customHeight="1" x14ac:dyDescent="0.2">
      <c r="B60" s="25" t="s">
        <v>152</v>
      </c>
      <c r="C60" s="26" t="s">
        <v>155</v>
      </c>
      <c r="D60" s="27" t="s">
        <v>117</v>
      </c>
      <c r="E60" s="12">
        <v>0.6</v>
      </c>
      <c r="F60" s="13">
        <v>0.25</v>
      </c>
      <c r="G60" s="28">
        <f t="shared" si="1"/>
        <v>0.75</v>
      </c>
      <c r="H60" s="29" t="s">
        <v>105</v>
      </c>
      <c r="J60" s="98"/>
    </row>
    <row r="61" spans="2:10" ht="18" customHeight="1" x14ac:dyDescent="0.2">
      <c r="B61" s="30" t="s">
        <v>152</v>
      </c>
      <c r="C61" s="31" t="s">
        <v>156</v>
      </c>
      <c r="D61" s="32" t="s">
        <v>117</v>
      </c>
      <c r="E61" s="12">
        <v>1.8</v>
      </c>
      <c r="F61" s="13">
        <v>0.25</v>
      </c>
      <c r="G61" s="33">
        <f t="shared" si="1"/>
        <v>2.25</v>
      </c>
      <c r="H61" s="34" t="s">
        <v>105</v>
      </c>
      <c r="J61" s="98"/>
    </row>
    <row r="62" spans="2:10" ht="18" customHeight="1" x14ac:dyDescent="0.2">
      <c r="B62" s="25" t="s">
        <v>152</v>
      </c>
      <c r="C62" s="26" t="s">
        <v>157</v>
      </c>
      <c r="D62" s="27" t="s">
        <v>117</v>
      </c>
      <c r="E62" s="12">
        <v>0.65</v>
      </c>
      <c r="F62" s="13">
        <v>0.25</v>
      </c>
      <c r="G62" s="28">
        <f t="shared" si="1"/>
        <v>0.8125</v>
      </c>
      <c r="H62" s="29" t="s">
        <v>105</v>
      </c>
      <c r="J62" s="98"/>
    </row>
    <row r="63" spans="2:10" ht="18" customHeight="1" x14ac:dyDescent="0.2">
      <c r="B63" s="30" t="s">
        <v>152</v>
      </c>
      <c r="C63" s="31" t="s">
        <v>158</v>
      </c>
      <c r="D63" s="32" t="s">
        <v>159</v>
      </c>
      <c r="E63" s="12">
        <v>4.2</v>
      </c>
      <c r="F63" s="13">
        <v>0.25</v>
      </c>
      <c r="G63" s="33">
        <f t="shared" si="1"/>
        <v>5.25</v>
      </c>
      <c r="H63" s="34" t="s">
        <v>105</v>
      </c>
      <c r="J63" s="98"/>
    </row>
    <row r="64" spans="2:10" ht="18" customHeight="1" x14ac:dyDescent="0.2">
      <c r="B64" s="25" t="s">
        <v>160</v>
      </c>
      <c r="C64" s="26" t="s">
        <v>161</v>
      </c>
      <c r="D64" s="27" t="s">
        <v>117</v>
      </c>
      <c r="E64" s="12">
        <v>0</v>
      </c>
      <c r="F64" s="13">
        <v>0</v>
      </c>
      <c r="G64" s="28">
        <f t="shared" si="1"/>
        <v>0</v>
      </c>
      <c r="H64" s="29" t="s">
        <v>105</v>
      </c>
      <c r="J64" s="98"/>
    </row>
    <row r="65" spans="2:10" ht="18" customHeight="1" x14ac:dyDescent="0.2">
      <c r="B65" s="30" t="s">
        <v>160</v>
      </c>
      <c r="C65" s="31" t="s">
        <v>162</v>
      </c>
      <c r="D65" s="32" t="s">
        <v>117</v>
      </c>
      <c r="E65" s="12">
        <v>0</v>
      </c>
      <c r="F65" s="13">
        <v>0</v>
      </c>
      <c r="G65" s="33">
        <f t="shared" si="1"/>
        <v>0</v>
      </c>
      <c r="H65" s="34" t="s">
        <v>105</v>
      </c>
      <c r="J65" s="98"/>
    </row>
    <row r="66" spans="2:10" ht="18" customHeight="1" x14ac:dyDescent="0.2">
      <c r="B66" s="25" t="s">
        <v>160</v>
      </c>
      <c r="C66" s="26" t="s">
        <v>163</v>
      </c>
      <c r="D66" s="27" t="s">
        <v>117</v>
      </c>
      <c r="E66" s="12">
        <v>0</v>
      </c>
      <c r="F66" s="13">
        <v>0</v>
      </c>
      <c r="G66" s="28">
        <f t="shared" si="1"/>
        <v>0</v>
      </c>
      <c r="H66" s="29" t="s">
        <v>105</v>
      </c>
      <c r="J66" s="98"/>
    </row>
    <row r="67" spans="2:10" ht="18" customHeight="1" x14ac:dyDescent="0.2">
      <c r="B67" s="30" t="s">
        <v>164</v>
      </c>
      <c r="C67" s="31" t="s">
        <v>165</v>
      </c>
      <c r="D67" s="32" t="s">
        <v>159</v>
      </c>
      <c r="E67" s="12">
        <v>95</v>
      </c>
      <c r="F67" s="13">
        <v>0.2</v>
      </c>
      <c r="G67" s="33">
        <f t="shared" si="1"/>
        <v>114</v>
      </c>
      <c r="H67" s="34" t="s">
        <v>105</v>
      </c>
      <c r="J67" s="98"/>
    </row>
    <row r="68" spans="2:10" ht="18" customHeight="1" x14ac:dyDescent="0.2">
      <c r="B68" s="25" t="s">
        <v>164</v>
      </c>
      <c r="C68" s="26" t="s">
        <v>166</v>
      </c>
      <c r="D68" s="27" t="s">
        <v>117</v>
      </c>
      <c r="E68" s="12">
        <v>4.5</v>
      </c>
      <c r="F68" s="13">
        <v>0.2</v>
      </c>
      <c r="G68" s="28">
        <f t="shared" si="1"/>
        <v>5.3999999999999995</v>
      </c>
      <c r="H68" s="29" t="s">
        <v>105</v>
      </c>
      <c r="J68" s="98"/>
    </row>
    <row r="69" spans="2:10" ht="18" customHeight="1" x14ac:dyDescent="0.2">
      <c r="B69" s="30" t="s">
        <v>164</v>
      </c>
      <c r="C69" s="31" t="s">
        <v>167</v>
      </c>
      <c r="D69" s="32" t="s">
        <v>117</v>
      </c>
      <c r="E69" s="12">
        <v>6.5</v>
      </c>
      <c r="F69" s="13">
        <v>0.2</v>
      </c>
      <c r="G69" s="33">
        <f t="shared" si="1"/>
        <v>7.8</v>
      </c>
      <c r="H69" s="34" t="s">
        <v>105</v>
      </c>
      <c r="J69" s="98"/>
    </row>
    <row r="70" spans="2:10" ht="18" customHeight="1" x14ac:dyDescent="0.2">
      <c r="B70" s="25" t="s">
        <v>164</v>
      </c>
      <c r="C70" s="26" t="s">
        <v>168</v>
      </c>
      <c r="D70" s="27" t="s">
        <v>117</v>
      </c>
      <c r="E70" s="12">
        <v>65</v>
      </c>
      <c r="F70" s="13">
        <v>0.2</v>
      </c>
      <c r="G70" s="28">
        <f t="shared" si="1"/>
        <v>78</v>
      </c>
      <c r="H70" s="29" t="s">
        <v>105</v>
      </c>
      <c r="J70" s="98"/>
    </row>
    <row r="71" spans="2:10" ht="18" customHeight="1" x14ac:dyDescent="0.2">
      <c r="B71" s="30"/>
      <c r="C71" s="31"/>
      <c r="D71" s="32"/>
      <c r="E71" s="35"/>
      <c r="F71" s="36"/>
      <c r="G71" s="33">
        <f t="shared" ref="G71:G90" si="2">IFERROR(E71*(1+F71),0)</f>
        <v>0</v>
      </c>
      <c r="H71" s="32"/>
      <c r="J71" s="98"/>
    </row>
    <row r="72" spans="2:10" ht="18" customHeight="1" x14ac:dyDescent="0.2">
      <c r="B72" s="25"/>
      <c r="C72" s="26"/>
      <c r="D72" s="27"/>
      <c r="E72" s="35"/>
      <c r="F72" s="36"/>
      <c r="G72" s="28">
        <f t="shared" si="2"/>
        <v>0</v>
      </c>
      <c r="H72" s="27"/>
      <c r="J72" s="98"/>
    </row>
    <row r="73" spans="2:10" ht="18" customHeight="1" x14ac:dyDescent="0.2">
      <c r="B73" s="30"/>
      <c r="C73" s="31"/>
      <c r="D73" s="32"/>
      <c r="E73" s="35"/>
      <c r="F73" s="36"/>
      <c r="G73" s="33">
        <f t="shared" si="2"/>
        <v>0</v>
      </c>
      <c r="H73" s="32"/>
      <c r="J73" s="98"/>
    </row>
    <row r="74" spans="2:10" ht="18" customHeight="1" x14ac:dyDescent="0.2">
      <c r="B74" s="25"/>
      <c r="C74" s="26"/>
      <c r="D74" s="27"/>
      <c r="E74" s="35"/>
      <c r="F74" s="36"/>
      <c r="G74" s="28">
        <f t="shared" si="2"/>
        <v>0</v>
      </c>
      <c r="H74" s="27"/>
      <c r="J74" s="98"/>
    </row>
    <row r="75" spans="2:10" ht="18" customHeight="1" x14ac:dyDescent="0.2">
      <c r="B75" s="30"/>
      <c r="C75" s="31"/>
      <c r="D75" s="32"/>
      <c r="E75" s="35"/>
      <c r="F75" s="36"/>
      <c r="G75" s="33">
        <f t="shared" si="2"/>
        <v>0</v>
      </c>
      <c r="H75" s="32"/>
      <c r="J75" s="98"/>
    </row>
    <row r="76" spans="2:10" ht="18" customHeight="1" x14ac:dyDescent="0.2">
      <c r="B76" s="25"/>
      <c r="C76" s="26"/>
      <c r="D76" s="27"/>
      <c r="E76" s="35"/>
      <c r="F76" s="36"/>
      <c r="G76" s="28">
        <f t="shared" si="2"/>
        <v>0</v>
      </c>
      <c r="H76" s="27"/>
      <c r="J76" s="98"/>
    </row>
    <row r="77" spans="2:10" ht="18" customHeight="1" x14ac:dyDescent="0.2">
      <c r="B77" s="30"/>
      <c r="C77" s="31"/>
      <c r="D77" s="32"/>
      <c r="E77" s="35"/>
      <c r="F77" s="36"/>
      <c r="G77" s="33">
        <f t="shared" si="2"/>
        <v>0</v>
      </c>
      <c r="H77" s="32"/>
      <c r="J77" s="98"/>
    </row>
    <row r="78" spans="2:10" ht="18" customHeight="1" x14ac:dyDescent="0.2">
      <c r="B78" s="25"/>
      <c r="C78" s="26"/>
      <c r="D78" s="27"/>
      <c r="E78" s="35"/>
      <c r="F78" s="36"/>
      <c r="G78" s="28">
        <f t="shared" si="2"/>
        <v>0</v>
      </c>
      <c r="H78" s="27"/>
      <c r="J78" s="98"/>
    </row>
    <row r="79" spans="2:10" ht="18" customHeight="1" x14ac:dyDescent="0.2">
      <c r="B79" s="30"/>
      <c r="C79" s="31"/>
      <c r="D79" s="32"/>
      <c r="E79" s="35"/>
      <c r="F79" s="36"/>
      <c r="G79" s="33">
        <f t="shared" si="2"/>
        <v>0</v>
      </c>
      <c r="H79" s="32"/>
      <c r="J79" s="98"/>
    </row>
    <row r="80" spans="2:10" ht="18" customHeight="1" x14ac:dyDescent="0.2">
      <c r="B80" s="25"/>
      <c r="C80" s="26"/>
      <c r="D80" s="27"/>
      <c r="E80" s="35"/>
      <c r="F80" s="36"/>
      <c r="G80" s="28">
        <f t="shared" si="2"/>
        <v>0</v>
      </c>
      <c r="H80" s="27"/>
      <c r="J80" s="98"/>
    </row>
    <row r="81" spans="2:10" ht="18" customHeight="1" x14ac:dyDescent="0.2">
      <c r="B81" s="30"/>
      <c r="C81" s="31"/>
      <c r="D81" s="32"/>
      <c r="E81" s="35"/>
      <c r="F81" s="36"/>
      <c r="G81" s="33">
        <f t="shared" si="2"/>
        <v>0</v>
      </c>
      <c r="H81" s="32"/>
      <c r="J81" s="98"/>
    </row>
    <row r="82" spans="2:10" ht="18" customHeight="1" x14ac:dyDescent="0.2">
      <c r="B82" s="25"/>
      <c r="C82" s="26"/>
      <c r="D82" s="27"/>
      <c r="E82" s="35"/>
      <c r="F82" s="36"/>
      <c r="G82" s="28">
        <f t="shared" si="2"/>
        <v>0</v>
      </c>
      <c r="H82" s="27"/>
      <c r="J82" s="98"/>
    </row>
    <row r="83" spans="2:10" ht="18" customHeight="1" x14ac:dyDescent="0.2">
      <c r="B83" s="30"/>
      <c r="C83" s="31"/>
      <c r="D83" s="32"/>
      <c r="E83" s="35"/>
      <c r="F83" s="36"/>
      <c r="G83" s="33">
        <f t="shared" si="2"/>
        <v>0</v>
      </c>
      <c r="H83" s="32"/>
      <c r="J83" s="98"/>
    </row>
    <row r="84" spans="2:10" ht="18" customHeight="1" x14ac:dyDescent="0.2">
      <c r="B84" s="25"/>
      <c r="C84" s="26"/>
      <c r="D84" s="27"/>
      <c r="E84" s="35"/>
      <c r="F84" s="36"/>
      <c r="G84" s="28">
        <f t="shared" si="2"/>
        <v>0</v>
      </c>
      <c r="H84" s="27"/>
      <c r="J84" s="98"/>
    </row>
    <row r="85" spans="2:10" ht="18" customHeight="1" x14ac:dyDescent="0.2">
      <c r="B85" s="30"/>
      <c r="C85" s="31"/>
      <c r="D85" s="32"/>
      <c r="E85" s="35"/>
      <c r="F85" s="36"/>
      <c r="G85" s="33">
        <f t="shared" si="2"/>
        <v>0</v>
      </c>
      <c r="H85" s="32"/>
      <c r="J85" s="98"/>
    </row>
    <row r="86" spans="2:10" ht="18" customHeight="1" x14ac:dyDescent="0.2">
      <c r="B86" s="25"/>
      <c r="C86" s="26"/>
      <c r="D86" s="27"/>
      <c r="E86" s="35"/>
      <c r="F86" s="36"/>
      <c r="G86" s="28">
        <f t="shared" si="2"/>
        <v>0</v>
      </c>
      <c r="H86" s="27"/>
      <c r="J86" s="98"/>
    </row>
    <row r="87" spans="2:10" ht="18" customHeight="1" x14ac:dyDescent="0.2">
      <c r="B87" s="30"/>
      <c r="C87" s="31"/>
      <c r="D87" s="32"/>
      <c r="E87" s="35"/>
      <c r="F87" s="36"/>
      <c r="G87" s="33">
        <f t="shared" si="2"/>
        <v>0</v>
      </c>
      <c r="H87" s="32"/>
      <c r="J87" s="98"/>
    </row>
    <row r="88" spans="2:10" ht="18" customHeight="1" x14ac:dyDescent="0.2">
      <c r="B88" s="25"/>
      <c r="C88" s="26"/>
      <c r="D88" s="27"/>
      <c r="E88" s="35"/>
      <c r="F88" s="36"/>
      <c r="G88" s="28">
        <f t="shared" si="2"/>
        <v>0</v>
      </c>
      <c r="H88" s="27"/>
      <c r="J88" s="98"/>
    </row>
    <row r="89" spans="2:10" ht="18" customHeight="1" x14ac:dyDescent="0.2">
      <c r="B89" s="30"/>
      <c r="C89" s="31"/>
      <c r="D89" s="32"/>
      <c r="E89" s="35"/>
      <c r="F89" s="36"/>
      <c r="G89" s="33">
        <f t="shared" si="2"/>
        <v>0</v>
      </c>
      <c r="H89" s="32"/>
      <c r="J89" s="98"/>
    </row>
    <row r="90" spans="2:10" ht="18" customHeight="1" x14ac:dyDescent="0.2">
      <c r="B90" s="25"/>
      <c r="C90" s="26"/>
      <c r="D90" s="27"/>
      <c r="E90" s="35"/>
      <c r="F90" s="36"/>
      <c r="G90" s="28">
        <f t="shared" si="2"/>
        <v>0</v>
      </c>
      <c r="H90" s="27"/>
      <c r="J90" s="98"/>
    </row>
    <row r="91" spans="2:10" ht="15" customHeight="1" x14ac:dyDescent="0.2">
      <c r="B91" s="96"/>
      <c r="C91" s="84"/>
      <c r="D91" s="84"/>
      <c r="E91" s="84"/>
      <c r="F91" s="84"/>
      <c r="G91" s="84"/>
      <c r="H91" s="84"/>
      <c r="I91" s="84"/>
      <c r="J91" s="99"/>
    </row>
    <row r="92" spans="2:10" ht="15" hidden="1" customHeight="1" x14ac:dyDescent="0.2"/>
    <row r="93" spans="2:10" ht="15" hidden="1" customHeight="1" x14ac:dyDescent="0.2"/>
    <row r="94" spans="2:10" ht="15" hidden="1" customHeight="1" x14ac:dyDescent="0.2"/>
    <row r="95" spans="2:10" ht="15" hidden="1" customHeight="1" x14ac:dyDescent="0.2"/>
    <row r="96" spans="2:10" ht="15" hidden="1" customHeight="1" x14ac:dyDescent="0.2"/>
    <row r="97" ht="15" hidden="1" customHeight="1" x14ac:dyDescent="0.2"/>
    <row r="98" ht="15" hidden="1" customHeight="1" x14ac:dyDescent="0.2"/>
    <row r="99" ht="15" hidden="1" customHeight="1" x14ac:dyDescent="0.2"/>
    <row r="100" ht="15" hidden="1" customHeight="1" x14ac:dyDescent="0.2"/>
    <row r="101" ht="15" hidden="1" customHeight="1" x14ac:dyDescent="0.2"/>
    <row r="102" ht="15" hidden="1" customHeight="1" x14ac:dyDescent="0.2"/>
    <row r="103" ht="15" hidden="1" customHeight="1" x14ac:dyDescent="0.2"/>
    <row r="104" ht="15" hidden="1" customHeight="1" x14ac:dyDescent="0.2"/>
    <row r="105" ht="15" hidden="1" customHeight="1" x14ac:dyDescent="0.2"/>
    <row r="106" ht="15" hidden="1" customHeight="1" x14ac:dyDescent="0.2"/>
    <row r="107" ht="15" hidden="1" customHeight="1" x14ac:dyDescent="0.2"/>
    <row r="108" ht="15" hidden="1" customHeight="1" x14ac:dyDescent="0.2"/>
    <row r="109" ht="15" hidden="1" customHeight="1" x14ac:dyDescent="0.2"/>
    <row r="110" ht="15" hidden="1" customHeight="1" x14ac:dyDescent="0.2"/>
    <row r="111" ht="15" hidden="1" customHeight="1" x14ac:dyDescent="0.2"/>
    <row r="112" ht="15" hidden="1" customHeight="1" x14ac:dyDescent="0.2"/>
    <row r="113" ht="15" hidden="1" customHeight="1" x14ac:dyDescent="0.2"/>
    <row r="114" ht="15" hidden="1" customHeight="1" x14ac:dyDescent="0.2"/>
    <row r="115" ht="15" hidden="1" customHeight="1" x14ac:dyDescent="0.2"/>
    <row r="116" ht="15" hidden="1" customHeight="1" x14ac:dyDescent="0.2"/>
    <row r="117" ht="15" hidden="1" customHeight="1" x14ac:dyDescent="0.2"/>
    <row r="118" ht="15" hidden="1" customHeight="1" x14ac:dyDescent="0.2"/>
    <row r="119" ht="15" hidden="1" customHeight="1" x14ac:dyDescent="0.2"/>
    <row r="120" ht="15" hidden="1" customHeight="1" x14ac:dyDescent="0.2"/>
    <row r="121" ht="15" hidden="1" customHeight="1" x14ac:dyDescent="0.2"/>
    <row r="122" ht="15" hidden="1" customHeight="1" x14ac:dyDescent="0.2"/>
    <row r="123" ht="15" hidden="1" customHeight="1" x14ac:dyDescent="0.2"/>
    <row r="124" ht="15" hidden="1" customHeight="1" x14ac:dyDescent="0.2"/>
    <row r="125" ht="15" hidden="1" customHeight="1" x14ac:dyDescent="0.2"/>
    <row r="126" ht="15" hidden="1" customHeight="1" x14ac:dyDescent="0.2"/>
    <row r="127" ht="15" hidden="1" customHeight="1" x14ac:dyDescent="0.2"/>
    <row r="128" ht="15" hidden="1" customHeight="1" x14ac:dyDescent="0.2"/>
    <row r="129" ht="15" hidden="1" customHeight="1" x14ac:dyDescent="0.2"/>
    <row r="130" ht="15" hidden="1" customHeight="1" x14ac:dyDescent="0.2"/>
    <row r="131" ht="15" hidden="1" customHeight="1" x14ac:dyDescent="0.2"/>
    <row r="132" ht="15" hidden="1" customHeight="1" x14ac:dyDescent="0.2"/>
    <row r="133" ht="15" hidden="1" customHeight="1" x14ac:dyDescent="0.2"/>
    <row r="134" ht="15" hidden="1" customHeight="1" x14ac:dyDescent="0.2"/>
    <row r="135" ht="15" hidden="1" customHeight="1" x14ac:dyDescent="0.2"/>
    <row r="136" ht="15" hidden="1" customHeight="1" x14ac:dyDescent="0.2"/>
    <row r="137" ht="15" hidden="1" customHeight="1" x14ac:dyDescent="0.2"/>
    <row r="138" ht="15" hidden="1" customHeight="1" x14ac:dyDescent="0.2"/>
    <row r="139" ht="15" hidden="1" customHeight="1" x14ac:dyDescent="0.2"/>
    <row r="140" ht="15" hidden="1" customHeight="1" x14ac:dyDescent="0.2"/>
    <row r="141" ht="15" hidden="1" customHeight="1" x14ac:dyDescent="0.2"/>
    <row r="142" ht="15" hidden="1" customHeight="1" x14ac:dyDescent="0.2"/>
    <row r="143" ht="15" hidden="1" customHeight="1" x14ac:dyDescent="0.2"/>
    <row r="144" ht="15" hidden="1" customHeight="1" x14ac:dyDescent="0.2"/>
    <row r="145" ht="15" hidden="1" customHeight="1" x14ac:dyDescent="0.2"/>
    <row r="146" ht="15" hidden="1" customHeight="1" x14ac:dyDescent="0.2"/>
    <row r="147" ht="15" hidden="1" customHeight="1" x14ac:dyDescent="0.2"/>
    <row r="148" ht="15" hidden="1" customHeight="1" x14ac:dyDescent="0.2"/>
    <row r="149" ht="15" hidden="1" customHeight="1" x14ac:dyDescent="0.2"/>
    <row r="150" ht="15" hidden="1" customHeight="1" x14ac:dyDescent="0.2"/>
    <row r="151" ht="15" hidden="1" customHeight="1" x14ac:dyDescent="0.2"/>
    <row r="152" ht="15" hidden="1" customHeight="1" x14ac:dyDescent="0.2"/>
    <row r="153" ht="15" hidden="1" customHeight="1" x14ac:dyDescent="0.2"/>
    <row r="154" ht="15" hidden="1" customHeight="1" x14ac:dyDescent="0.2"/>
    <row r="155" ht="15" hidden="1" customHeight="1" x14ac:dyDescent="0.2"/>
    <row r="156" ht="15" hidden="1" customHeight="1" x14ac:dyDescent="0.2"/>
    <row r="157" ht="15" hidden="1" customHeight="1" x14ac:dyDescent="0.2"/>
    <row r="158" ht="15" hidden="1" customHeight="1" x14ac:dyDescent="0.2"/>
    <row r="159" ht="15" hidden="1" customHeight="1" x14ac:dyDescent="0.2"/>
    <row r="160" ht="15" hidden="1" customHeight="1" x14ac:dyDescent="0.2"/>
    <row r="161" ht="15" hidden="1" customHeight="1" x14ac:dyDescent="0.2"/>
    <row r="162" ht="15" hidden="1" customHeight="1" x14ac:dyDescent="0.2"/>
    <row r="163" ht="15" hidden="1" customHeight="1" x14ac:dyDescent="0.2"/>
    <row r="164" ht="15" hidden="1" customHeight="1" x14ac:dyDescent="0.2"/>
    <row r="165" ht="15" hidden="1" customHeight="1" x14ac:dyDescent="0.2"/>
    <row r="166" ht="15" hidden="1" customHeight="1" x14ac:dyDescent="0.2"/>
    <row r="167" ht="15" hidden="1" customHeight="1" x14ac:dyDescent="0.2"/>
    <row r="168" ht="15" hidden="1" customHeight="1" x14ac:dyDescent="0.2"/>
    <row r="169" ht="15" hidden="1" customHeight="1" x14ac:dyDescent="0.2"/>
    <row r="170" ht="15" hidden="1" customHeight="1" x14ac:dyDescent="0.2"/>
    <row r="171" ht="15" hidden="1" customHeight="1" x14ac:dyDescent="0.2"/>
    <row r="172" ht="15" hidden="1" customHeight="1" x14ac:dyDescent="0.2"/>
    <row r="173" ht="15" hidden="1" customHeight="1" x14ac:dyDescent="0.2"/>
    <row r="174" ht="15" hidden="1" customHeight="1" x14ac:dyDescent="0.2"/>
    <row r="175" ht="15" hidden="1" customHeight="1" x14ac:dyDescent="0.2"/>
    <row r="176" ht="15" hidden="1" customHeight="1" x14ac:dyDescent="0.2"/>
    <row r="177" ht="15" hidden="1" customHeight="1" x14ac:dyDescent="0.2"/>
    <row r="178" ht="15" hidden="1" customHeight="1" x14ac:dyDescent="0.2"/>
    <row r="179" ht="15" hidden="1" customHeight="1" x14ac:dyDescent="0.2"/>
    <row r="180" ht="15" hidden="1" customHeight="1" x14ac:dyDescent="0.2"/>
    <row r="181" ht="15" hidden="1" customHeight="1" x14ac:dyDescent="0.2"/>
    <row r="182" ht="15" hidden="1" customHeight="1" x14ac:dyDescent="0.2"/>
    <row r="183" ht="15" hidden="1" customHeight="1" x14ac:dyDescent="0.2"/>
    <row r="184" ht="15" hidden="1" customHeight="1" x14ac:dyDescent="0.2"/>
    <row r="185" ht="15" hidden="1" customHeight="1" x14ac:dyDescent="0.2"/>
    <row r="186" ht="15" hidden="1" customHeight="1" x14ac:dyDescent="0.2"/>
    <row r="187" ht="15" hidden="1" customHeight="1" x14ac:dyDescent="0.2"/>
    <row r="188" ht="15" hidden="1" customHeight="1" x14ac:dyDescent="0.2"/>
    <row r="189" ht="15" hidden="1" customHeight="1" x14ac:dyDescent="0.2"/>
    <row r="190" ht="15" hidden="1" customHeight="1" x14ac:dyDescent="0.2"/>
    <row r="191" ht="15" hidden="1" customHeight="1" x14ac:dyDescent="0.2"/>
    <row r="192" ht="15" hidden="1" customHeight="1" x14ac:dyDescent="0.2"/>
    <row r="193" ht="15" hidden="1" customHeight="1" x14ac:dyDescent="0.2"/>
    <row r="194" ht="15" hidden="1" customHeight="1" x14ac:dyDescent="0.2"/>
    <row r="195" ht="15" hidden="1" customHeight="1" x14ac:dyDescent="0.2"/>
    <row r="196" ht="15" hidden="1" customHeight="1" x14ac:dyDescent="0.2"/>
    <row r="197" ht="15" hidden="1" customHeight="1" x14ac:dyDescent="0.2"/>
    <row r="198" ht="15" hidden="1" customHeight="1" x14ac:dyDescent="0.2"/>
    <row r="199" ht="15" hidden="1" customHeight="1" x14ac:dyDescent="0.2"/>
  </sheetData>
  <mergeCells count="10">
    <mergeCell ref="B2:H2"/>
    <mergeCell ref="I2:J2"/>
    <mergeCell ref="B3:H3"/>
    <mergeCell ref="B6:H6"/>
    <mergeCell ref="B7:H7"/>
    <mergeCell ref="B8:H8"/>
    <mergeCell ref="B9:H9"/>
    <mergeCell ref="B10:H10"/>
    <mergeCell ref="B11:H11"/>
    <mergeCell ref="G13:H13"/>
  </mergeCells>
  <conditionalFormatting sqref="G13:H13">
    <cfRule type="expression" dxfId="2" priority="2">
      <formula>TODAY()-$C$13&lt;=30</formula>
    </cfRule>
    <cfRule type="expression" dxfId="1" priority="3">
      <formula>AND(TODAY()-$C$13&gt;30,TODAY()-$C$13&lt;=60)</formula>
    </cfRule>
    <cfRule type="expression" dxfId="0" priority="4">
      <formula>TODAY()-$C$13&gt;60</formula>
    </cfRule>
  </conditionalFormatting>
  <dataValidations count="1">
    <dataValidation type="list" allowBlank="1" sqref="B16:B90" xr:uid="{00000000-0002-0000-0200-000000000000}">
      <formula1>"Cable,Accessories,Lighting,Containment,Distribution Equipment,Sundries,Testing &amp; Cert,Data &amp; Comms"</formula1>
      <formula2>0</formula2>
    </dataValidation>
  </dataValidations>
  <pageMargins left="0.3" right="0.3" top="0.4" bottom="0.4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B4FFF"/>
    <pageSetUpPr fitToPage="1"/>
  </sheetPr>
  <dimension ref="B2:AW199"/>
  <sheetViews>
    <sheetView showGridLines="0" zoomScale="230" zoomScaleNormal="230" workbookViewId="0">
      <selection activeCell="AZ15" sqref="AZ15"/>
    </sheetView>
  </sheetViews>
  <sheetFormatPr baseColWidth="10" defaultColWidth="8.6640625" defaultRowHeight="15" x14ac:dyDescent="0.2"/>
  <cols>
    <col min="1" max="1" width="2" customWidth="1"/>
    <col min="2" max="2" width="38" customWidth="1"/>
    <col min="3" max="3" width="18" customWidth="1"/>
    <col min="4" max="4" width="4" customWidth="1"/>
    <col min="5" max="5" width="6" customWidth="1"/>
    <col min="6" max="6" width="14" customWidth="1"/>
    <col min="7" max="7" width="2" hidden="1" customWidth="1"/>
    <col min="8" max="49" width="13" hidden="1" customWidth="1"/>
  </cols>
  <sheetData>
    <row r="2" spans="2:6" ht="26" customHeight="1" x14ac:dyDescent="0.2">
      <c r="B2" s="103" t="s">
        <v>169</v>
      </c>
      <c r="C2" s="103"/>
      <c r="D2" s="1"/>
      <c r="E2" s="104" t="s">
        <v>37</v>
      </c>
      <c r="F2" s="104"/>
    </row>
    <row r="3" spans="2:6" ht="12.75" customHeight="1" x14ac:dyDescent="0.2">
      <c r="B3" s="105" t="s">
        <v>170</v>
      </c>
      <c r="C3" s="105"/>
      <c r="E3" s="6"/>
      <c r="F3" s="7" t="s">
        <v>39</v>
      </c>
    </row>
    <row r="4" spans="2:6" ht="12.75" customHeight="1" x14ac:dyDescent="0.2">
      <c r="B4" s="4"/>
      <c r="C4" s="5"/>
      <c r="E4" s="8"/>
      <c r="F4" s="7" t="s">
        <v>40</v>
      </c>
    </row>
    <row r="5" spans="2:6" ht="12.75" customHeight="1" x14ac:dyDescent="0.2">
      <c r="B5" s="2"/>
      <c r="E5" s="9"/>
      <c r="F5" s="7" t="s">
        <v>41</v>
      </c>
    </row>
    <row r="6" spans="2:6" ht="15" customHeight="1" x14ac:dyDescent="0.2">
      <c r="B6" s="2"/>
      <c r="F6" s="3"/>
    </row>
    <row r="7" spans="2:6" ht="21.75" customHeight="1" x14ac:dyDescent="0.2">
      <c r="B7" s="106" t="s">
        <v>171</v>
      </c>
      <c r="C7" s="106"/>
      <c r="F7" s="3"/>
    </row>
    <row r="8" spans="2:6" ht="19.5" customHeight="1" x14ac:dyDescent="0.2">
      <c r="B8" s="10" t="s">
        <v>172</v>
      </c>
      <c r="C8" s="38"/>
      <c r="F8" s="3"/>
    </row>
    <row r="9" spans="2:6" ht="19.5" customHeight="1" x14ac:dyDescent="0.2">
      <c r="B9" s="10" t="s">
        <v>173</v>
      </c>
      <c r="C9" s="14">
        <v>25</v>
      </c>
      <c r="F9" s="3"/>
    </row>
    <row r="10" spans="2:6" ht="19.5" customHeight="1" x14ac:dyDescent="0.2">
      <c r="B10" s="10" t="s">
        <v>174</v>
      </c>
      <c r="C10" s="14">
        <f>MAX(1,CEILING(IFERROR(SUM('5. Pricing Sheet'!J26:J47),0)/'1. Your Setup'!$C$22,1))</f>
        <v>1</v>
      </c>
      <c r="F10" s="3"/>
    </row>
    <row r="11" spans="2:6" ht="19.5" customHeight="1" x14ac:dyDescent="0.2">
      <c r="B11" s="10" t="s">
        <v>175</v>
      </c>
      <c r="C11" s="14">
        <v>1</v>
      </c>
      <c r="F11" s="3"/>
    </row>
    <row r="12" spans="2:6" ht="19.5" customHeight="1" x14ac:dyDescent="0.2">
      <c r="B12" s="10" t="s">
        <v>176</v>
      </c>
      <c r="C12" s="14">
        <v>1</v>
      </c>
      <c r="F12" s="3"/>
    </row>
    <row r="13" spans="2:6" ht="15.75" customHeight="1" x14ac:dyDescent="0.2">
      <c r="B13" s="107" t="s">
        <v>177</v>
      </c>
      <c r="C13" s="107"/>
      <c r="F13" s="3"/>
    </row>
    <row r="14" spans="2:6" ht="15" customHeight="1" x14ac:dyDescent="0.2">
      <c r="B14" s="2"/>
      <c r="F14" s="3"/>
    </row>
    <row r="15" spans="2:6" ht="21.75" customHeight="1" x14ac:dyDescent="0.2">
      <c r="B15" s="101" t="s">
        <v>178</v>
      </c>
      <c r="C15" s="101"/>
      <c r="F15" s="3"/>
    </row>
    <row r="16" spans="2:6" ht="19.5" customHeight="1" x14ac:dyDescent="0.2">
      <c r="B16" s="39" t="s">
        <v>179</v>
      </c>
      <c r="C16" s="40">
        <f>C9*2*C11*C10</f>
        <v>50</v>
      </c>
      <c r="F16" s="3"/>
    </row>
    <row r="17" spans="2:6" ht="19.5" customHeight="1" x14ac:dyDescent="0.2">
      <c r="B17" s="39" t="s">
        <v>180</v>
      </c>
      <c r="C17" s="28">
        <f>C16*'1. Your Setup'!$C$20</f>
        <v>22.5</v>
      </c>
      <c r="F17" s="3"/>
    </row>
    <row r="18" spans="2:6" ht="19.5" customHeight="1" x14ac:dyDescent="0.2">
      <c r="B18" s="39" t="s">
        <v>181</v>
      </c>
      <c r="C18" s="41">
        <f>IFERROR(C16/'1. Your Setup'!$C$21*C12,0)</f>
        <v>1.4285714285714286</v>
      </c>
      <c r="F18" s="3"/>
    </row>
    <row r="19" spans="2:6" ht="19.5" customHeight="1" x14ac:dyDescent="0.2">
      <c r="B19" s="39" t="s">
        <v>182</v>
      </c>
      <c r="C19" s="28">
        <f>C18*'1. Your Setup'!$F$9</f>
        <v>64.285714285714292</v>
      </c>
      <c r="F19" s="3"/>
    </row>
    <row r="20" spans="2:6" ht="15" customHeight="1" x14ac:dyDescent="0.2">
      <c r="B20" s="2"/>
      <c r="F20" s="3"/>
    </row>
    <row r="21" spans="2:6" ht="30" customHeight="1" x14ac:dyDescent="0.2">
      <c r="B21" s="42" t="s">
        <v>183</v>
      </c>
      <c r="C21" s="43">
        <f>C17+C19</f>
        <v>86.785714285714292</v>
      </c>
      <c r="F21" s="3"/>
    </row>
    <row r="22" spans="2:6" ht="15" customHeight="1" x14ac:dyDescent="0.2">
      <c r="B22" s="2"/>
      <c r="F22" s="3"/>
    </row>
    <row r="23" spans="2:6" ht="15" customHeight="1" x14ac:dyDescent="0.2">
      <c r="B23" s="102" t="s">
        <v>184</v>
      </c>
      <c r="C23" s="102"/>
      <c r="D23" s="17"/>
      <c r="E23" s="17"/>
      <c r="F23" s="18"/>
    </row>
    <row r="24" spans="2:6" ht="15" hidden="1" customHeight="1" x14ac:dyDescent="0.2"/>
    <row r="25" spans="2:6" ht="15" hidden="1" customHeight="1" x14ac:dyDescent="0.2"/>
    <row r="26" spans="2:6" ht="15" hidden="1" customHeight="1" x14ac:dyDescent="0.2"/>
    <row r="27" spans="2:6" ht="15" hidden="1" customHeight="1" x14ac:dyDescent="0.2"/>
    <row r="28" spans="2:6" ht="15" hidden="1" customHeight="1" x14ac:dyDescent="0.2"/>
    <row r="29" spans="2:6" ht="15" hidden="1" customHeight="1" x14ac:dyDescent="0.2"/>
    <row r="30" spans="2:6" ht="15" hidden="1" customHeight="1" x14ac:dyDescent="0.2"/>
    <row r="31" spans="2:6" ht="15" hidden="1" customHeight="1" x14ac:dyDescent="0.2"/>
    <row r="32" spans="2:6" ht="15" hidden="1" customHeight="1" x14ac:dyDescent="0.2"/>
    <row r="33" ht="15" hidden="1" customHeight="1" x14ac:dyDescent="0.2"/>
    <row r="34" ht="15" hidden="1" customHeight="1" x14ac:dyDescent="0.2"/>
    <row r="35" ht="15" hidden="1" customHeight="1" x14ac:dyDescent="0.2"/>
    <row r="36" ht="15" hidden="1" customHeight="1" x14ac:dyDescent="0.2"/>
    <row r="37" ht="15" hidden="1" customHeight="1" x14ac:dyDescent="0.2"/>
    <row r="38" ht="15" hidden="1" customHeight="1" x14ac:dyDescent="0.2"/>
    <row r="39" ht="15" hidden="1" customHeight="1" x14ac:dyDescent="0.2"/>
    <row r="40" ht="15" hidden="1" customHeight="1" x14ac:dyDescent="0.2"/>
    <row r="41" ht="15" hidden="1" customHeight="1" x14ac:dyDescent="0.2"/>
    <row r="42" ht="15" hidden="1" customHeight="1" x14ac:dyDescent="0.2"/>
    <row r="43" ht="15" hidden="1" customHeight="1" x14ac:dyDescent="0.2"/>
    <row r="44" ht="15" hidden="1" customHeight="1" x14ac:dyDescent="0.2"/>
    <row r="45" ht="15" hidden="1" customHeight="1" x14ac:dyDescent="0.2"/>
    <row r="46" ht="15" hidden="1" customHeight="1" x14ac:dyDescent="0.2"/>
    <row r="47" ht="15" hidden="1" customHeight="1" x14ac:dyDescent="0.2"/>
    <row r="48" ht="15" hidden="1" customHeight="1" x14ac:dyDescent="0.2"/>
    <row r="49" ht="15" hidden="1" customHeight="1" x14ac:dyDescent="0.2"/>
    <row r="50" ht="15" hidden="1" customHeight="1" x14ac:dyDescent="0.2"/>
    <row r="51" ht="15" hidden="1" customHeight="1" x14ac:dyDescent="0.2"/>
    <row r="52" ht="15" hidden="1" customHeight="1" x14ac:dyDescent="0.2"/>
    <row r="53" ht="15" hidden="1" customHeight="1" x14ac:dyDescent="0.2"/>
    <row r="54" ht="15" hidden="1" customHeight="1" x14ac:dyDescent="0.2"/>
    <row r="55" ht="15" hidden="1" customHeight="1" x14ac:dyDescent="0.2"/>
    <row r="56" ht="15" hidden="1" customHeight="1" x14ac:dyDescent="0.2"/>
    <row r="57" ht="15" hidden="1" customHeight="1" x14ac:dyDescent="0.2"/>
    <row r="58" ht="15" hidden="1" customHeight="1" x14ac:dyDescent="0.2"/>
    <row r="59" ht="15" hidden="1" customHeight="1" x14ac:dyDescent="0.2"/>
    <row r="60" ht="15" hidden="1" customHeight="1" x14ac:dyDescent="0.2"/>
    <row r="61" ht="15" hidden="1" customHeight="1" x14ac:dyDescent="0.2"/>
    <row r="62" ht="15" hidden="1" customHeight="1" x14ac:dyDescent="0.2"/>
    <row r="63" ht="15" hidden="1" customHeight="1" x14ac:dyDescent="0.2"/>
    <row r="64" ht="15" hidden="1" customHeight="1" x14ac:dyDescent="0.2"/>
    <row r="65" ht="15" hidden="1" customHeight="1" x14ac:dyDescent="0.2"/>
    <row r="66" ht="15" hidden="1" customHeight="1" x14ac:dyDescent="0.2"/>
    <row r="67" ht="15" hidden="1" customHeight="1" x14ac:dyDescent="0.2"/>
    <row r="68" ht="15" hidden="1" customHeight="1" x14ac:dyDescent="0.2"/>
    <row r="69" ht="15" hidden="1" customHeight="1" x14ac:dyDescent="0.2"/>
    <row r="70" ht="15" hidden="1" customHeight="1" x14ac:dyDescent="0.2"/>
    <row r="71" ht="15" hidden="1" customHeight="1" x14ac:dyDescent="0.2"/>
    <row r="72" ht="15" hidden="1" customHeight="1" x14ac:dyDescent="0.2"/>
    <row r="73" ht="15" hidden="1" customHeight="1" x14ac:dyDescent="0.2"/>
    <row r="74" ht="15" hidden="1" customHeight="1" x14ac:dyDescent="0.2"/>
    <row r="75" ht="15" hidden="1" customHeight="1" x14ac:dyDescent="0.2"/>
    <row r="76" ht="15" hidden="1" customHeight="1" x14ac:dyDescent="0.2"/>
    <row r="77" ht="15" hidden="1" customHeight="1" x14ac:dyDescent="0.2"/>
    <row r="78" ht="15" hidden="1" customHeight="1" x14ac:dyDescent="0.2"/>
    <row r="79" ht="15" hidden="1" customHeight="1" x14ac:dyDescent="0.2"/>
    <row r="80" ht="15" hidden="1" customHeight="1" x14ac:dyDescent="0.2"/>
    <row r="81" ht="15" hidden="1" customHeight="1" x14ac:dyDescent="0.2"/>
    <row r="82" ht="15" hidden="1" customHeight="1" x14ac:dyDescent="0.2"/>
    <row r="83" ht="15" hidden="1" customHeight="1" x14ac:dyDescent="0.2"/>
    <row r="84" ht="15" hidden="1" customHeight="1" x14ac:dyDescent="0.2"/>
    <row r="85" ht="15" hidden="1" customHeight="1" x14ac:dyDescent="0.2"/>
    <row r="86" ht="15" hidden="1" customHeight="1" x14ac:dyDescent="0.2"/>
    <row r="87" ht="15" hidden="1" customHeight="1" x14ac:dyDescent="0.2"/>
    <row r="88" ht="15" hidden="1" customHeight="1" x14ac:dyDescent="0.2"/>
    <row r="89" ht="15" hidden="1" customHeight="1" x14ac:dyDescent="0.2"/>
    <row r="90" ht="15" hidden="1" customHeight="1" x14ac:dyDescent="0.2"/>
    <row r="91" ht="15" hidden="1" customHeight="1" x14ac:dyDescent="0.2"/>
    <row r="92" ht="15" hidden="1" customHeight="1" x14ac:dyDescent="0.2"/>
    <row r="93" ht="15" hidden="1" customHeight="1" x14ac:dyDescent="0.2"/>
    <row r="94" ht="15" hidden="1" customHeight="1" x14ac:dyDescent="0.2"/>
    <row r="95" ht="15" hidden="1" customHeight="1" x14ac:dyDescent="0.2"/>
    <row r="96" ht="15" hidden="1" customHeight="1" x14ac:dyDescent="0.2"/>
    <row r="97" ht="15" hidden="1" customHeight="1" x14ac:dyDescent="0.2"/>
    <row r="98" ht="15" hidden="1" customHeight="1" x14ac:dyDescent="0.2"/>
    <row r="99" ht="15" hidden="1" customHeight="1" x14ac:dyDescent="0.2"/>
    <row r="100" ht="15" hidden="1" customHeight="1" x14ac:dyDescent="0.2"/>
    <row r="101" ht="15" hidden="1" customHeight="1" x14ac:dyDescent="0.2"/>
    <row r="102" ht="15" hidden="1" customHeight="1" x14ac:dyDescent="0.2"/>
    <row r="103" ht="15" hidden="1" customHeight="1" x14ac:dyDescent="0.2"/>
    <row r="104" ht="15" hidden="1" customHeight="1" x14ac:dyDescent="0.2"/>
    <row r="105" ht="15" hidden="1" customHeight="1" x14ac:dyDescent="0.2"/>
    <row r="106" ht="15" hidden="1" customHeight="1" x14ac:dyDescent="0.2"/>
    <row r="107" ht="15" hidden="1" customHeight="1" x14ac:dyDescent="0.2"/>
    <row r="108" ht="15" hidden="1" customHeight="1" x14ac:dyDescent="0.2"/>
    <row r="109" ht="15" hidden="1" customHeight="1" x14ac:dyDescent="0.2"/>
    <row r="110" ht="15" hidden="1" customHeight="1" x14ac:dyDescent="0.2"/>
    <row r="111" ht="15" hidden="1" customHeight="1" x14ac:dyDescent="0.2"/>
    <row r="112" ht="15" hidden="1" customHeight="1" x14ac:dyDescent="0.2"/>
    <row r="113" ht="15" hidden="1" customHeight="1" x14ac:dyDescent="0.2"/>
    <row r="114" ht="15" hidden="1" customHeight="1" x14ac:dyDescent="0.2"/>
    <row r="115" ht="15" hidden="1" customHeight="1" x14ac:dyDescent="0.2"/>
    <row r="116" ht="15" hidden="1" customHeight="1" x14ac:dyDescent="0.2"/>
    <row r="117" ht="15" hidden="1" customHeight="1" x14ac:dyDescent="0.2"/>
    <row r="118" ht="15" hidden="1" customHeight="1" x14ac:dyDescent="0.2"/>
    <row r="119" ht="15" hidden="1" customHeight="1" x14ac:dyDescent="0.2"/>
    <row r="120" ht="15" hidden="1" customHeight="1" x14ac:dyDescent="0.2"/>
    <row r="121" ht="15" hidden="1" customHeight="1" x14ac:dyDescent="0.2"/>
    <row r="122" ht="15" hidden="1" customHeight="1" x14ac:dyDescent="0.2"/>
    <row r="123" ht="15" hidden="1" customHeight="1" x14ac:dyDescent="0.2"/>
    <row r="124" ht="15" hidden="1" customHeight="1" x14ac:dyDescent="0.2"/>
    <row r="125" ht="15" hidden="1" customHeight="1" x14ac:dyDescent="0.2"/>
    <row r="126" ht="15" hidden="1" customHeight="1" x14ac:dyDescent="0.2"/>
    <row r="127" ht="15" hidden="1" customHeight="1" x14ac:dyDescent="0.2"/>
    <row r="128" ht="15" hidden="1" customHeight="1" x14ac:dyDescent="0.2"/>
    <row r="129" ht="15" hidden="1" customHeight="1" x14ac:dyDescent="0.2"/>
    <row r="130" ht="15" hidden="1" customHeight="1" x14ac:dyDescent="0.2"/>
    <row r="131" ht="15" hidden="1" customHeight="1" x14ac:dyDescent="0.2"/>
    <row r="132" ht="15" hidden="1" customHeight="1" x14ac:dyDescent="0.2"/>
    <row r="133" ht="15" hidden="1" customHeight="1" x14ac:dyDescent="0.2"/>
    <row r="134" ht="15" hidden="1" customHeight="1" x14ac:dyDescent="0.2"/>
    <row r="135" ht="15" hidden="1" customHeight="1" x14ac:dyDescent="0.2"/>
    <row r="136" ht="15" hidden="1" customHeight="1" x14ac:dyDescent="0.2"/>
    <row r="137" ht="15" hidden="1" customHeight="1" x14ac:dyDescent="0.2"/>
    <row r="138" ht="15" hidden="1" customHeight="1" x14ac:dyDescent="0.2"/>
    <row r="139" ht="15" hidden="1" customHeight="1" x14ac:dyDescent="0.2"/>
    <row r="140" ht="15" hidden="1" customHeight="1" x14ac:dyDescent="0.2"/>
    <row r="141" ht="15" hidden="1" customHeight="1" x14ac:dyDescent="0.2"/>
    <row r="142" ht="15" hidden="1" customHeight="1" x14ac:dyDescent="0.2"/>
    <row r="143" ht="15" hidden="1" customHeight="1" x14ac:dyDescent="0.2"/>
    <row r="144" ht="15" hidden="1" customHeight="1" x14ac:dyDescent="0.2"/>
    <row r="145" ht="15" hidden="1" customHeight="1" x14ac:dyDescent="0.2"/>
    <row r="146" ht="15" hidden="1" customHeight="1" x14ac:dyDescent="0.2"/>
    <row r="147" ht="15" hidden="1" customHeight="1" x14ac:dyDescent="0.2"/>
    <row r="148" ht="15" hidden="1" customHeight="1" x14ac:dyDescent="0.2"/>
    <row r="149" ht="15" hidden="1" customHeight="1" x14ac:dyDescent="0.2"/>
    <row r="150" ht="15" hidden="1" customHeight="1" x14ac:dyDescent="0.2"/>
    <row r="151" ht="15" hidden="1" customHeight="1" x14ac:dyDescent="0.2"/>
    <row r="152" ht="15" hidden="1" customHeight="1" x14ac:dyDescent="0.2"/>
    <row r="153" ht="15" hidden="1" customHeight="1" x14ac:dyDescent="0.2"/>
    <row r="154" ht="15" hidden="1" customHeight="1" x14ac:dyDescent="0.2"/>
    <row r="155" ht="15" hidden="1" customHeight="1" x14ac:dyDescent="0.2"/>
    <row r="156" ht="15" hidden="1" customHeight="1" x14ac:dyDescent="0.2"/>
    <row r="157" ht="15" hidden="1" customHeight="1" x14ac:dyDescent="0.2"/>
    <row r="158" ht="15" hidden="1" customHeight="1" x14ac:dyDescent="0.2"/>
    <row r="159" ht="15" hidden="1" customHeight="1" x14ac:dyDescent="0.2"/>
    <row r="160" ht="15" hidden="1" customHeight="1" x14ac:dyDescent="0.2"/>
    <row r="161" ht="15" hidden="1" customHeight="1" x14ac:dyDescent="0.2"/>
    <row r="162" ht="15" hidden="1" customHeight="1" x14ac:dyDescent="0.2"/>
    <row r="163" ht="15" hidden="1" customHeight="1" x14ac:dyDescent="0.2"/>
    <row r="164" ht="15" hidden="1" customHeight="1" x14ac:dyDescent="0.2"/>
    <row r="165" ht="15" hidden="1" customHeight="1" x14ac:dyDescent="0.2"/>
    <row r="166" ht="15" hidden="1" customHeight="1" x14ac:dyDescent="0.2"/>
    <row r="167" ht="15" hidden="1" customHeight="1" x14ac:dyDescent="0.2"/>
    <row r="168" ht="15" hidden="1" customHeight="1" x14ac:dyDescent="0.2"/>
    <row r="169" ht="15" hidden="1" customHeight="1" x14ac:dyDescent="0.2"/>
    <row r="170" ht="15" hidden="1" customHeight="1" x14ac:dyDescent="0.2"/>
    <row r="171" ht="15" hidden="1" customHeight="1" x14ac:dyDescent="0.2"/>
    <row r="172" ht="15" hidden="1" customHeight="1" x14ac:dyDescent="0.2"/>
    <row r="173" ht="15" hidden="1" customHeight="1" x14ac:dyDescent="0.2"/>
    <row r="174" ht="15" hidden="1" customHeight="1" x14ac:dyDescent="0.2"/>
    <row r="175" ht="15" hidden="1" customHeight="1" x14ac:dyDescent="0.2"/>
    <row r="176" ht="15" hidden="1" customHeight="1" x14ac:dyDescent="0.2"/>
    <row r="177" ht="15" hidden="1" customHeight="1" x14ac:dyDescent="0.2"/>
    <row r="178" ht="15" hidden="1" customHeight="1" x14ac:dyDescent="0.2"/>
    <row r="179" ht="15" hidden="1" customHeight="1" x14ac:dyDescent="0.2"/>
    <row r="180" ht="15" hidden="1" customHeight="1" x14ac:dyDescent="0.2"/>
    <row r="181" ht="15" hidden="1" customHeight="1" x14ac:dyDescent="0.2"/>
    <row r="182" ht="15" hidden="1" customHeight="1" x14ac:dyDescent="0.2"/>
    <row r="183" ht="15" hidden="1" customHeight="1" x14ac:dyDescent="0.2"/>
    <row r="184" ht="15" hidden="1" customHeight="1" x14ac:dyDescent="0.2"/>
    <row r="185" ht="15" hidden="1" customHeight="1" x14ac:dyDescent="0.2"/>
    <row r="186" ht="15" hidden="1" customHeight="1" x14ac:dyDescent="0.2"/>
    <row r="187" ht="15" hidden="1" customHeight="1" x14ac:dyDescent="0.2"/>
    <row r="188" ht="15" hidden="1" customHeight="1" x14ac:dyDescent="0.2"/>
    <row r="189" ht="15" hidden="1" customHeight="1" x14ac:dyDescent="0.2"/>
    <row r="190" ht="15" hidden="1" customHeight="1" x14ac:dyDescent="0.2"/>
    <row r="191" ht="15" hidden="1" customHeight="1" x14ac:dyDescent="0.2"/>
    <row r="192" ht="15" hidden="1" customHeight="1" x14ac:dyDescent="0.2"/>
    <row r="193" ht="15" hidden="1" customHeight="1" x14ac:dyDescent="0.2"/>
    <row r="194" ht="15" hidden="1" customHeight="1" x14ac:dyDescent="0.2"/>
    <row r="195" ht="15" hidden="1" customHeight="1" x14ac:dyDescent="0.2"/>
    <row r="196" ht="15" hidden="1" customHeight="1" x14ac:dyDescent="0.2"/>
    <row r="197" ht="15" hidden="1" customHeight="1" x14ac:dyDescent="0.2"/>
    <row r="198" ht="15" hidden="1" customHeight="1" x14ac:dyDescent="0.2"/>
    <row r="199" ht="15" hidden="1" customHeight="1" x14ac:dyDescent="0.2"/>
  </sheetData>
  <mergeCells count="7">
    <mergeCell ref="B15:C15"/>
    <mergeCell ref="B23:C23"/>
    <mergeCell ref="B2:C2"/>
    <mergeCell ref="E2:F2"/>
    <mergeCell ref="B3:C3"/>
    <mergeCell ref="B7:C7"/>
    <mergeCell ref="B13:C13"/>
  </mergeCells>
  <pageMargins left="0.3" right="0.3" top="0.4" bottom="0.4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B4FFF"/>
    <pageSetUpPr fitToPage="1"/>
  </sheetPr>
  <dimension ref="B2:AW199"/>
  <sheetViews>
    <sheetView showGridLines="0" zoomScale="240" zoomScaleNormal="240" workbookViewId="0">
      <selection activeCell="AY9" sqref="AY9"/>
    </sheetView>
  </sheetViews>
  <sheetFormatPr baseColWidth="10" defaultColWidth="8.6640625" defaultRowHeight="15" x14ac:dyDescent="0.2"/>
  <cols>
    <col min="1" max="1" width="2" customWidth="1"/>
    <col min="2" max="2" width="38" customWidth="1"/>
    <col min="3" max="3" width="18" customWidth="1"/>
    <col min="4" max="4" width="4" customWidth="1"/>
    <col min="5" max="5" width="6" customWidth="1"/>
    <col min="6" max="6" width="14" customWidth="1"/>
    <col min="7" max="7" width="2" hidden="1" customWidth="1"/>
    <col min="8" max="49" width="13" hidden="1" customWidth="1"/>
  </cols>
  <sheetData>
    <row r="2" spans="2:6" ht="23" customHeight="1" x14ac:dyDescent="0.2">
      <c r="B2" s="103" t="s">
        <v>185</v>
      </c>
      <c r="C2" s="103"/>
      <c r="D2" s="1"/>
      <c r="E2" s="104" t="s">
        <v>37</v>
      </c>
      <c r="F2" s="104"/>
    </row>
    <row r="3" spans="2:6" ht="12.75" customHeight="1" x14ac:dyDescent="0.2">
      <c r="B3" s="105" t="s">
        <v>186</v>
      </c>
      <c r="C3" s="105"/>
      <c r="E3" s="6"/>
      <c r="F3" s="7" t="s">
        <v>39</v>
      </c>
    </row>
    <row r="4" spans="2:6" ht="12.75" customHeight="1" x14ac:dyDescent="0.2">
      <c r="B4" s="4"/>
      <c r="C4" s="5"/>
      <c r="E4" s="8"/>
      <c r="F4" s="7" t="s">
        <v>40</v>
      </c>
    </row>
    <row r="5" spans="2:6" ht="12.75" customHeight="1" x14ac:dyDescent="0.2">
      <c r="B5" s="2"/>
      <c r="E5" s="9"/>
      <c r="F5" s="7" t="s">
        <v>41</v>
      </c>
    </row>
    <row r="6" spans="2:6" ht="15" customHeight="1" x14ac:dyDescent="0.2">
      <c r="B6" s="2"/>
      <c r="F6" s="3"/>
    </row>
    <row r="7" spans="2:6" ht="21.75" customHeight="1" x14ac:dyDescent="0.2">
      <c r="B7" s="106" t="s">
        <v>187</v>
      </c>
      <c r="C7" s="106"/>
      <c r="F7" s="3"/>
    </row>
    <row r="8" spans="2:6" ht="19.5" customHeight="1" x14ac:dyDescent="0.2">
      <c r="B8" s="10" t="s">
        <v>188</v>
      </c>
      <c r="C8" s="14">
        <v>0</v>
      </c>
      <c r="F8" s="3"/>
    </row>
    <row r="9" spans="2:6" ht="19.5" customHeight="1" x14ac:dyDescent="0.2">
      <c r="B9" s="10" t="s">
        <v>189</v>
      </c>
      <c r="C9" s="14">
        <v>0</v>
      </c>
      <c r="F9" s="3"/>
    </row>
    <row r="10" spans="2:6" ht="19.5" customHeight="1" x14ac:dyDescent="0.2">
      <c r="B10" s="10" t="s">
        <v>190</v>
      </c>
      <c r="C10" s="12">
        <f>'1. Your Setup'!$F$19</f>
        <v>75</v>
      </c>
      <c r="F10" s="3"/>
    </row>
    <row r="11" spans="2:6" ht="19.5" customHeight="1" x14ac:dyDescent="0.2">
      <c r="B11" s="10" t="s">
        <v>191</v>
      </c>
      <c r="C11" s="12">
        <f>'1. Your Setup'!$F$20</f>
        <v>25</v>
      </c>
      <c r="F11" s="3"/>
    </row>
    <row r="12" spans="2:6" ht="19.5" customHeight="1" x14ac:dyDescent="0.2">
      <c r="B12" s="10" t="s">
        <v>75</v>
      </c>
      <c r="C12" s="12">
        <f>'1. Your Setup'!$F$21</f>
        <v>0</v>
      </c>
      <c r="F12" s="3"/>
    </row>
    <row r="13" spans="2:6" ht="19.5" customHeight="1" x14ac:dyDescent="0.2">
      <c r="B13" s="39" t="s">
        <v>192</v>
      </c>
      <c r="C13" s="44">
        <f>'3. Travel'!$C$10</f>
        <v>1</v>
      </c>
      <c r="F13" s="3"/>
    </row>
    <row r="14" spans="2:6" ht="15" customHeight="1" x14ac:dyDescent="0.2">
      <c r="B14" s="2"/>
      <c r="F14" s="3"/>
    </row>
    <row r="15" spans="2:6" ht="21.75" customHeight="1" x14ac:dyDescent="0.2">
      <c r="B15" s="101" t="s">
        <v>178</v>
      </c>
      <c r="C15" s="101"/>
      <c r="F15" s="3"/>
    </row>
    <row r="16" spans="2:6" ht="19.5" customHeight="1" x14ac:dyDescent="0.2">
      <c r="B16" s="10" t="s">
        <v>193</v>
      </c>
      <c r="C16" s="28">
        <f>C8*C10*C9</f>
        <v>0</v>
      </c>
      <c r="F16" s="3"/>
    </row>
    <row r="17" spans="2:6" ht="19.5" customHeight="1" x14ac:dyDescent="0.2">
      <c r="B17" s="10" t="s">
        <v>194</v>
      </c>
      <c r="C17" s="28">
        <f>C13*C11*C9</f>
        <v>0</v>
      </c>
      <c r="F17" s="3"/>
    </row>
    <row r="18" spans="2:6" ht="19.5" customHeight="1" x14ac:dyDescent="0.2">
      <c r="B18" s="10" t="s">
        <v>195</v>
      </c>
      <c r="C18" s="28">
        <f>C8*C12*C9</f>
        <v>0</v>
      </c>
      <c r="F18" s="3"/>
    </row>
    <row r="19" spans="2:6" ht="15" customHeight="1" x14ac:dyDescent="0.2">
      <c r="B19" s="2"/>
      <c r="F19" s="3"/>
    </row>
    <row r="20" spans="2:6" ht="30" customHeight="1" x14ac:dyDescent="0.2">
      <c r="B20" s="42" t="s">
        <v>196</v>
      </c>
      <c r="C20" s="43">
        <f>SUM(C16:C18)</f>
        <v>0</v>
      </c>
      <c r="F20" s="3"/>
    </row>
    <row r="21" spans="2:6" ht="15" customHeight="1" x14ac:dyDescent="0.2">
      <c r="B21" s="2"/>
      <c r="F21" s="3"/>
    </row>
    <row r="22" spans="2:6" ht="15" customHeight="1" x14ac:dyDescent="0.2">
      <c r="B22" s="102" t="s">
        <v>184</v>
      </c>
      <c r="C22" s="102"/>
      <c r="D22" s="17"/>
      <c r="E22" s="17"/>
      <c r="F22" s="18"/>
    </row>
    <row r="23" spans="2:6" ht="15" hidden="1" customHeight="1" x14ac:dyDescent="0.2"/>
    <row r="24" spans="2:6" ht="15" hidden="1" customHeight="1" x14ac:dyDescent="0.2"/>
    <row r="25" spans="2:6" ht="15" hidden="1" customHeight="1" x14ac:dyDescent="0.2"/>
    <row r="26" spans="2:6" ht="15" hidden="1" customHeight="1" x14ac:dyDescent="0.2"/>
    <row r="27" spans="2:6" ht="15" hidden="1" customHeight="1" x14ac:dyDescent="0.2"/>
    <row r="28" spans="2:6" ht="15" hidden="1" customHeight="1" x14ac:dyDescent="0.2"/>
    <row r="29" spans="2:6" ht="15" hidden="1" customHeight="1" x14ac:dyDescent="0.2"/>
    <row r="30" spans="2:6" ht="15" hidden="1" customHeight="1" x14ac:dyDescent="0.2"/>
    <row r="31" spans="2:6" ht="15" hidden="1" customHeight="1" x14ac:dyDescent="0.2"/>
    <row r="32" spans="2:6" ht="15" hidden="1" customHeight="1" x14ac:dyDescent="0.2"/>
    <row r="33" ht="15" hidden="1" customHeight="1" x14ac:dyDescent="0.2"/>
    <row r="34" ht="15" hidden="1" customHeight="1" x14ac:dyDescent="0.2"/>
    <row r="35" ht="15" hidden="1" customHeight="1" x14ac:dyDescent="0.2"/>
    <row r="36" ht="15" hidden="1" customHeight="1" x14ac:dyDescent="0.2"/>
    <row r="37" ht="15" hidden="1" customHeight="1" x14ac:dyDescent="0.2"/>
    <row r="38" ht="15" hidden="1" customHeight="1" x14ac:dyDescent="0.2"/>
    <row r="39" ht="15" hidden="1" customHeight="1" x14ac:dyDescent="0.2"/>
    <row r="40" ht="15" hidden="1" customHeight="1" x14ac:dyDescent="0.2"/>
    <row r="41" ht="15" hidden="1" customHeight="1" x14ac:dyDescent="0.2"/>
    <row r="42" ht="15" hidden="1" customHeight="1" x14ac:dyDescent="0.2"/>
    <row r="43" ht="15" hidden="1" customHeight="1" x14ac:dyDescent="0.2"/>
    <row r="44" ht="15" hidden="1" customHeight="1" x14ac:dyDescent="0.2"/>
    <row r="45" ht="15" hidden="1" customHeight="1" x14ac:dyDescent="0.2"/>
    <row r="46" ht="15" hidden="1" customHeight="1" x14ac:dyDescent="0.2"/>
    <row r="47" ht="15" hidden="1" customHeight="1" x14ac:dyDescent="0.2"/>
    <row r="48" ht="15" hidden="1" customHeight="1" x14ac:dyDescent="0.2"/>
    <row r="49" ht="15" hidden="1" customHeight="1" x14ac:dyDescent="0.2"/>
    <row r="50" ht="15" hidden="1" customHeight="1" x14ac:dyDescent="0.2"/>
    <row r="51" ht="15" hidden="1" customHeight="1" x14ac:dyDescent="0.2"/>
    <row r="52" ht="15" hidden="1" customHeight="1" x14ac:dyDescent="0.2"/>
    <row r="53" ht="15" hidden="1" customHeight="1" x14ac:dyDescent="0.2"/>
    <row r="54" ht="15" hidden="1" customHeight="1" x14ac:dyDescent="0.2"/>
    <row r="55" ht="15" hidden="1" customHeight="1" x14ac:dyDescent="0.2"/>
    <row r="56" ht="15" hidden="1" customHeight="1" x14ac:dyDescent="0.2"/>
    <row r="57" ht="15" hidden="1" customHeight="1" x14ac:dyDescent="0.2"/>
    <row r="58" ht="15" hidden="1" customHeight="1" x14ac:dyDescent="0.2"/>
    <row r="59" ht="15" hidden="1" customHeight="1" x14ac:dyDescent="0.2"/>
    <row r="60" ht="15" hidden="1" customHeight="1" x14ac:dyDescent="0.2"/>
    <row r="61" ht="15" hidden="1" customHeight="1" x14ac:dyDescent="0.2"/>
    <row r="62" ht="15" hidden="1" customHeight="1" x14ac:dyDescent="0.2"/>
    <row r="63" ht="15" hidden="1" customHeight="1" x14ac:dyDescent="0.2"/>
    <row r="64" ht="15" hidden="1" customHeight="1" x14ac:dyDescent="0.2"/>
    <row r="65" ht="15" hidden="1" customHeight="1" x14ac:dyDescent="0.2"/>
    <row r="66" ht="15" hidden="1" customHeight="1" x14ac:dyDescent="0.2"/>
    <row r="67" ht="15" hidden="1" customHeight="1" x14ac:dyDescent="0.2"/>
    <row r="68" ht="15" hidden="1" customHeight="1" x14ac:dyDescent="0.2"/>
    <row r="69" ht="15" hidden="1" customHeight="1" x14ac:dyDescent="0.2"/>
    <row r="70" ht="15" hidden="1" customHeight="1" x14ac:dyDescent="0.2"/>
    <row r="71" ht="15" hidden="1" customHeight="1" x14ac:dyDescent="0.2"/>
    <row r="72" ht="15" hidden="1" customHeight="1" x14ac:dyDescent="0.2"/>
    <row r="73" ht="15" hidden="1" customHeight="1" x14ac:dyDescent="0.2"/>
    <row r="74" ht="15" hidden="1" customHeight="1" x14ac:dyDescent="0.2"/>
    <row r="75" ht="15" hidden="1" customHeight="1" x14ac:dyDescent="0.2"/>
    <row r="76" ht="15" hidden="1" customHeight="1" x14ac:dyDescent="0.2"/>
    <row r="77" ht="15" hidden="1" customHeight="1" x14ac:dyDescent="0.2"/>
    <row r="78" ht="15" hidden="1" customHeight="1" x14ac:dyDescent="0.2"/>
    <row r="79" ht="15" hidden="1" customHeight="1" x14ac:dyDescent="0.2"/>
    <row r="80" ht="15" hidden="1" customHeight="1" x14ac:dyDescent="0.2"/>
    <row r="81" ht="15" hidden="1" customHeight="1" x14ac:dyDescent="0.2"/>
    <row r="82" ht="15" hidden="1" customHeight="1" x14ac:dyDescent="0.2"/>
    <row r="83" ht="15" hidden="1" customHeight="1" x14ac:dyDescent="0.2"/>
    <row r="84" ht="15" hidden="1" customHeight="1" x14ac:dyDescent="0.2"/>
    <row r="85" ht="15" hidden="1" customHeight="1" x14ac:dyDescent="0.2"/>
    <row r="86" ht="15" hidden="1" customHeight="1" x14ac:dyDescent="0.2"/>
    <row r="87" ht="15" hidden="1" customHeight="1" x14ac:dyDescent="0.2"/>
    <row r="88" ht="15" hidden="1" customHeight="1" x14ac:dyDescent="0.2"/>
    <row r="89" ht="15" hidden="1" customHeight="1" x14ac:dyDescent="0.2"/>
    <row r="90" ht="15" hidden="1" customHeight="1" x14ac:dyDescent="0.2"/>
    <row r="91" ht="15" hidden="1" customHeight="1" x14ac:dyDescent="0.2"/>
    <row r="92" ht="15" hidden="1" customHeight="1" x14ac:dyDescent="0.2"/>
    <row r="93" ht="15" hidden="1" customHeight="1" x14ac:dyDescent="0.2"/>
    <row r="94" ht="15" hidden="1" customHeight="1" x14ac:dyDescent="0.2"/>
    <row r="95" ht="15" hidden="1" customHeight="1" x14ac:dyDescent="0.2"/>
    <row r="96" ht="15" hidden="1" customHeight="1" x14ac:dyDescent="0.2"/>
    <row r="97" ht="15" hidden="1" customHeight="1" x14ac:dyDescent="0.2"/>
    <row r="98" ht="15" hidden="1" customHeight="1" x14ac:dyDescent="0.2"/>
    <row r="99" ht="15" hidden="1" customHeight="1" x14ac:dyDescent="0.2"/>
    <row r="100" ht="15" hidden="1" customHeight="1" x14ac:dyDescent="0.2"/>
    <row r="101" ht="15" hidden="1" customHeight="1" x14ac:dyDescent="0.2"/>
    <row r="102" ht="15" hidden="1" customHeight="1" x14ac:dyDescent="0.2"/>
    <row r="103" ht="15" hidden="1" customHeight="1" x14ac:dyDescent="0.2"/>
    <row r="104" ht="15" hidden="1" customHeight="1" x14ac:dyDescent="0.2"/>
    <row r="105" ht="15" hidden="1" customHeight="1" x14ac:dyDescent="0.2"/>
    <row r="106" ht="15" hidden="1" customHeight="1" x14ac:dyDescent="0.2"/>
    <row r="107" ht="15" hidden="1" customHeight="1" x14ac:dyDescent="0.2"/>
    <row r="108" ht="15" hidden="1" customHeight="1" x14ac:dyDescent="0.2"/>
    <row r="109" ht="15" hidden="1" customHeight="1" x14ac:dyDescent="0.2"/>
    <row r="110" ht="15" hidden="1" customHeight="1" x14ac:dyDescent="0.2"/>
    <row r="111" ht="15" hidden="1" customHeight="1" x14ac:dyDescent="0.2"/>
    <row r="112" ht="15" hidden="1" customHeight="1" x14ac:dyDescent="0.2"/>
    <row r="113" ht="15" hidden="1" customHeight="1" x14ac:dyDescent="0.2"/>
    <row r="114" ht="15" hidden="1" customHeight="1" x14ac:dyDescent="0.2"/>
    <row r="115" ht="15" hidden="1" customHeight="1" x14ac:dyDescent="0.2"/>
    <row r="116" ht="15" hidden="1" customHeight="1" x14ac:dyDescent="0.2"/>
    <row r="117" ht="15" hidden="1" customHeight="1" x14ac:dyDescent="0.2"/>
    <row r="118" ht="15" hidden="1" customHeight="1" x14ac:dyDescent="0.2"/>
    <row r="119" ht="15" hidden="1" customHeight="1" x14ac:dyDescent="0.2"/>
    <row r="120" ht="15" hidden="1" customHeight="1" x14ac:dyDescent="0.2"/>
    <row r="121" ht="15" hidden="1" customHeight="1" x14ac:dyDescent="0.2"/>
    <row r="122" ht="15" hidden="1" customHeight="1" x14ac:dyDescent="0.2"/>
    <row r="123" ht="15" hidden="1" customHeight="1" x14ac:dyDescent="0.2"/>
    <row r="124" ht="15" hidden="1" customHeight="1" x14ac:dyDescent="0.2"/>
    <row r="125" ht="15" hidden="1" customHeight="1" x14ac:dyDescent="0.2"/>
    <row r="126" ht="15" hidden="1" customHeight="1" x14ac:dyDescent="0.2"/>
    <row r="127" ht="15" hidden="1" customHeight="1" x14ac:dyDescent="0.2"/>
    <row r="128" ht="15" hidden="1" customHeight="1" x14ac:dyDescent="0.2"/>
    <row r="129" ht="15" hidden="1" customHeight="1" x14ac:dyDescent="0.2"/>
    <row r="130" ht="15" hidden="1" customHeight="1" x14ac:dyDescent="0.2"/>
    <row r="131" ht="15" hidden="1" customHeight="1" x14ac:dyDescent="0.2"/>
    <row r="132" ht="15" hidden="1" customHeight="1" x14ac:dyDescent="0.2"/>
    <row r="133" ht="15" hidden="1" customHeight="1" x14ac:dyDescent="0.2"/>
    <row r="134" ht="15" hidden="1" customHeight="1" x14ac:dyDescent="0.2"/>
    <row r="135" ht="15" hidden="1" customHeight="1" x14ac:dyDescent="0.2"/>
    <row r="136" ht="15" hidden="1" customHeight="1" x14ac:dyDescent="0.2"/>
    <row r="137" ht="15" hidden="1" customHeight="1" x14ac:dyDescent="0.2"/>
    <row r="138" ht="15" hidden="1" customHeight="1" x14ac:dyDescent="0.2"/>
    <row r="139" ht="15" hidden="1" customHeight="1" x14ac:dyDescent="0.2"/>
    <row r="140" ht="15" hidden="1" customHeight="1" x14ac:dyDescent="0.2"/>
    <row r="141" ht="15" hidden="1" customHeight="1" x14ac:dyDescent="0.2"/>
    <row r="142" ht="15" hidden="1" customHeight="1" x14ac:dyDescent="0.2"/>
    <row r="143" ht="15" hidden="1" customHeight="1" x14ac:dyDescent="0.2"/>
    <row r="144" ht="15" hidden="1" customHeight="1" x14ac:dyDescent="0.2"/>
    <row r="145" ht="15" hidden="1" customHeight="1" x14ac:dyDescent="0.2"/>
    <row r="146" ht="15" hidden="1" customHeight="1" x14ac:dyDescent="0.2"/>
    <row r="147" ht="15" hidden="1" customHeight="1" x14ac:dyDescent="0.2"/>
    <row r="148" ht="15" hidden="1" customHeight="1" x14ac:dyDescent="0.2"/>
    <row r="149" ht="15" hidden="1" customHeight="1" x14ac:dyDescent="0.2"/>
    <row r="150" ht="15" hidden="1" customHeight="1" x14ac:dyDescent="0.2"/>
    <row r="151" ht="15" hidden="1" customHeight="1" x14ac:dyDescent="0.2"/>
    <row r="152" ht="15" hidden="1" customHeight="1" x14ac:dyDescent="0.2"/>
    <row r="153" ht="15" hidden="1" customHeight="1" x14ac:dyDescent="0.2"/>
    <row r="154" ht="15" hidden="1" customHeight="1" x14ac:dyDescent="0.2"/>
    <row r="155" ht="15" hidden="1" customHeight="1" x14ac:dyDescent="0.2"/>
    <row r="156" ht="15" hidden="1" customHeight="1" x14ac:dyDescent="0.2"/>
    <row r="157" ht="15" hidden="1" customHeight="1" x14ac:dyDescent="0.2"/>
    <row r="158" ht="15" hidden="1" customHeight="1" x14ac:dyDescent="0.2"/>
    <row r="159" ht="15" hidden="1" customHeight="1" x14ac:dyDescent="0.2"/>
    <row r="160" ht="15" hidden="1" customHeight="1" x14ac:dyDescent="0.2"/>
    <row r="161" ht="15" hidden="1" customHeight="1" x14ac:dyDescent="0.2"/>
    <row r="162" ht="15" hidden="1" customHeight="1" x14ac:dyDescent="0.2"/>
    <row r="163" ht="15" hidden="1" customHeight="1" x14ac:dyDescent="0.2"/>
    <row r="164" ht="15" hidden="1" customHeight="1" x14ac:dyDescent="0.2"/>
    <row r="165" ht="15" hidden="1" customHeight="1" x14ac:dyDescent="0.2"/>
    <row r="166" ht="15" hidden="1" customHeight="1" x14ac:dyDescent="0.2"/>
    <row r="167" ht="15" hidden="1" customHeight="1" x14ac:dyDescent="0.2"/>
    <row r="168" ht="15" hidden="1" customHeight="1" x14ac:dyDescent="0.2"/>
    <row r="169" ht="15" hidden="1" customHeight="1" x14ac:dyDescent="0.2"/>
    <row r="170" ht="15" hidden="1" customHeight="1" x14ac:dyDescent="0.2"/>
    <row r="171" ht="15" hidden="1" customHeight="1" x14ac:dyDescent="0.2"/>
    <row r="172" ht="15" hidden="1" customHeight="1" x14ac:dyDescent="0.2"/>
    <row r="173" ht="15" hidden="1" customHeight="1" x14ac:dyDescent="0.2"/>
    <row r="174" ht="15" hidden="1" customHeight="1" x14ac:dyDescent="0.2"/>
    <row r="175" ht="15" hidden="1" customHeight="1" x14ac:dyDescent="0.2"/>
    <row r="176" ht="15" hidden="1" customHeight="1" x14ac:dyDescent="0.2"/>
    <row r="177" ht="15" hidden="1" customHeight="1" x14ac:dyDescent="0.2"/>
    <row r="178" ht="15" hidden="1" customHeight="1" x14ac:dyDescent="0.2"/>
    <row r="179" ht="15" hidden="1" customHeight="1" x14ac:dyDescent="0.2"/>
    <row r="180" ht="15" hidden="1" customHeight="1" x14ac:dyDescent="0.2"/>
    <row r="181" ht="15" hidden="1" customHeight="1" x14ac:dyDescent="0.2"/>
    <row r="182" ht="15" hidden="1" customHeight="1" x14ac:dyDescent="0.2"/>
    <row r="183" ht="15" hidden="1" customHeight="1" x14ac:dyDescent="0.2"/>
    <row r="184" ht="15" hidden="1" customHeight="1" x14ac:dyDescent="0.2"/>
    <row r="185" ht="15" hidden="1" customHeight="1" x14ac:dyDescent="0.2"/>
    <row r="186" ht="15" hidden="1" customHeight="1" x14ac:dyDescent="0.2"/>
    <row r="187" ht="15" hidden="1" customHeight="1" x14ac:dyDescent="0.2"/>
    <row r="188" ht="15" hidden="1" customHeight="1" x14ac:dyDescent="0.2"/>
    <row r="189" ht="15" hidden="1" customHeight="1" x14ac:dyDescent="0.2"/>
    <row r="190" ht="15" hidden="1" customHeight="1" x14ac:dyDescent="0.2"/>
    <row r="191" ht="15" hidden="1" customHeight="1" x14ac:dyDescent="0.2"/>
    <row r="192" ht="15" hidden="1" customHeight="1" x14ac:dyDescent="0.2"/>
    <row r="193" ht="15" hidden="1" customHeight="1" x14ac:dyDescent="0.2"/>
    <row r="194" ht="15" hidden="1" customHeight="1" x14ac:dyDescent="0.2"/>
    <row r="195" ht="15" hidden="1" customHeight="1" x14ac:dyDescent="0.2"/>
    <row r="196" ht="15" hidden="1" customHeight="1" x14ac:dyDescent="0.2"/>
    <row r="197" ht="15" hidden="1" customHeight="1" x14ac:dyDescent="0.2"/>
    <row r="198" ht="15" hidden="1" customHeight="1" x14ac:dyDescent="0.2"/>
    <row r="199" ht="15" hidden="1" customHeight="1" x14ac:dyDescent="0.2"/>
  </sheetData>
  <mergeCells count="6">
    <mergeCell ref="B22:C22"/>
    <mergeCell ref="B2:C2"/>
    <mergeCell ref="E2:F2"/>
    <mergeCell ref="B3:C3"/>
    <mergeCell ref="B7:C7"/>
    <mergeCell ref="B15:C15"/>
  </mergeCells>
  <pageMargins left="0.3" right="0.3" top="0.4" bottom="0.4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A1F66"/>
    <pageSetUpPr fitToPage="1"/>
  </sheetPr>
  <dimension ref="B2:AW199"/>
  <sheetViews>
    <sheetView showGridLines="0" topLeftCell="A24" zoomScale="150" zoomScaleNormal="150" workbookViewId="0">
      <selection activeCell="G29" sqref="G29"/>
    </sheetView>
  </sheetViews>
  <sheetFormatPr baseColWidth="10" defaultColWidth="8.6640625" defaultRowHeight="15" x14ac:dyDescent="0.2"/>
  <cols>
    <col min="1" max="1" width="2" customWidth="1"/>
    <col min="2" max="2" width="4" customWidth="1"/>
    <col min="3" max="3" width="14" customWidth="1"/>
    <col min="4" max="4" width="19.33203125" style="163" customWidth="1"/>
    <col min="5" max="5" width="26" customWidth="1"/>
    <col min="6" max="7" width="6" customWidth="1"/>
    <col min="8" max="9" width="10" customWidth="1"/>
    <col min="10" max="10" width="7" customWidth="1"/>
    <col min="11" max="11" width="8" customWidth="1"/>
    <col min="12" max="12" width="11" customWidth="1"/>
    <col min="13" max="13" width="6" customWidth="1"/>
    <col min="14" max="14" width="14" customWidth="1"/>
    <col min="15" max="15" width="2" hidden="1" customWidth="1"/>
    <col min="16" max="49" width="13" hidden="1" customWidth="1"/>
  </cols>
  <sheetData>
    <row r="2" spans="2:14" ht="26" customHeight="1" x14ac:dyDescent="0.2">
      <c r="B2" s="103" t="s">
        <v>197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 t="s">
        <v>37</v>
      </c>
      <c r="N2" s="104"/>
    </row>
    <row r="3" spans="2:14" ht="12.75" customHeight="1" x14ac:dyDescent="0.2">
      <c r="B3" s="105" t="s">
        <v>198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6"/>
      <c r="N3" s="7" t="s">
        <v>39</v>
      </c>
    </row>
    <row r="4" spans="2:14" ht="12.75" customHeight="1" x14ac:dyDescent="0.2">
      <c r="B4" s="4"/>
      <c r="C4" s="5"/>
      <c r="D4" s="162"/>
      <c r="E4" s="5"/>
      <c r="F4" s="5"/>
      <c r="G4" s="5"/>
      <c r="H4" s="5"/>
      <c r="I4" s="5"/>
      <c r="J4" s="5"/>
      <c r="K4" s="5"/>
      <c r="L4" s="5"/>
      <c r="M4" s="8"/>
      <c r="N4" s="7" t="s">
        <v>40</v>
      </c>
    </row>
    <row r="5" spans="2:14" ht="12.75" customHeight="1" x14ac:dyDescent="0.2">
      <c r="B5" s="2"/>
      <c r="M5" s="9"/>
      <c r="N5" s="7" t="s">
        <v>41</v>
      </c>
    </row>
    <row r="6" spans="2:14" ht="15" customHeight="1" x14ac:dyDescent="0.2">
      <c r="B6" s="2"/>
      <c r="N6" s="3"/>
    </row>
    <row r="7" spans="2:14" ht="21.75" customHeight="1" x14ac:dyDescent="0.2">
      <c r="B7" s="106" t="s">
        <v>199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N7" s="3"/>
    </row>
    <row r="8" spans="2:14" ht="19.5" customHeight="1" x14ac:dyDescent="0.2">
      <c r="B8" s="134" t="s">
        <v>200</v>
      </c>
      <c r="C8" s="134"/>
      <c r="D8" s="134"/>
      <c r="E8" s="139"/>
      <c r="F8" s="139"/>
      <c r="G8" s="139"/>
      <c r="H8" s="139"/>
      <c r="I8" s="139"/>
      <c r="J8" s="139"/>
      <c r="K8" s="139"/>
      <c r="L8" s="139"/>
      <c r="N8" s="3"/>
    </row>
    <row r="9" spans="2:14" ht="19.5" customHeight="1" x14ac:dyDescent="0.2">
      <c r="B9" s="134" t="s">
        <v>201</v>
      </c>
      <c r="C9" s="134"/>
      <c r="D9" s="134"/>
      <c r="E9" s="139"/>
      <c r="F9" s="139"/>
      <c r="G9" s="139"/>
      <c r="H9" s="139"/>
      <c r="I9" s="139"/>
      <c r="J9" s="139"/>
      <c r="K9" s="139"/>
      <c r="L9" s="139"/>
      <c r="N9" s="3"/>
    </row>
    <row r="10" spans="2:14" ht="19.5" customHeight="1" x14ac:dyDescent="0.2">
      <c r="B10" s="134" t="s">
        <v>202</v>
      </c>
      <c r="C10" s="134"/>
      <c r="D10" s="134"/>
      <c r="E10" s="139"/>
      <c r="F10" s="139"/>
      <c r="G10" s="139"/>
      <c r="H10" s="139"/>
      <c r="I10" s="139"/>
      <c r="J10" s="139"/>
      <c r="K10" s="139"/>
      <c r="L10" s="139"/>
      <c r="N10" s="3"/>
    </row>
    <row r="11" spans="2:14" ht="19.5" customHeight="1" x14ac:dyDescent="0.2">
      <c r="B11" s="134" t="s">
        <v>203</v>
      </c>
      <c r="C11" s="134"/>
      <c r="D11" s="134"/>
      <c r="E11" s="143">
        <f ca="1">TODAY()</f>
        <v>46156</v>
      </c>
      <c r="F11" s="143"/>
      <c r="G11" s="143"/>
      <c r="H11" s="143"/>
      <c r="I11" s="143"/>
      <c r="J11" s="143"/>
      <c r="K11" s="143"/>
      <c r="L11" s="143"/>
      <c r="N11" s="3"/>
    </row>
    <row r="12" spans="2:14" ht="19.5" customHeight="1" x14ac:dyDescent="0.2">
      <c r="B12" s="134" t="s">
        <v>204</v>
      </c>
      <c r="C12" s="134"/>
      <c r="D12" s="134"/>
      <c r="E12" s="139"/>
      <c r="F12" s="139"/>
      <c r="G12" s="139"/>
      <c r="H12" s="139"/>
      <c r="I12" s="139"/>
      <c r="J12" s="139"/>
      <c r="K12" s="139"/>
      <c r="L12" s="139"/>
      <c r="N12" s="3"/>
    </row>
    <row r="13" spans="2:14" ht="15" customHeight="1" x14ac:dyDescent="0.2">
      <c r="B13" s="2"/>
      <c r="N13" s="3"/>
    </row>
    <row r="14" spans="2:14" ht="21.75" customHeight="1" x14ac:dyDescent="0.2">
      <c r="B14" s="106" t="s">
        <v>205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N14" s="3"/>
    </row>
    <row r="15" spans="2:14" ht="15.75" customHeight="1" x14ac:dyDescent="0.2">
      <c r="B15" s="105" t="s">
        <v>206</v>
      </c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N15" s="3"/>
    </row>
    <row r="16" spans="2:14" ht="21.75" customHeight="1" x14ac:dyDescent="0.2">
      <c r="B16" s="45" t="s">
        <v>207</v>
      </c>
      <c r="C16" s="142" t="s">
        <v>208</v>
      </c>
      <c r="D16" s="142"/>
      <c r="E16" s="142"/>
      <c r="F16" s="142"/>
      <c r="G16" s="142"/>
      <c r="H16" s="142"/>
      <c r="I16" s="142"/>
      <c r="J16" s="142"/>
      <c r="K16" s="142"/>
      <c r="L16" s="142"/>
      <c r="N16" s="3"/>
    </row>
    <row r="17" spans="2:14" ht="19.5" customHeight="1" x14ac:dyDescent="0.2">
      <c r="B17" s="47">
        <v>1</v>
      </c>
      <c r="C17" s="139" t="s">
        <v>209</v>
      </c>
      <c r="D17" s="139"/>
      <c r="E17" s="139"/>
      <c r="F17" s="139"/>
      <c r="G17" s="139"/>
      <c r="H17" s="139"/>
      <c r="I17" s="139"/>
      <c r="J17" s="139"/>
      <c r="K17" s="139"/>
      <c r="L17" s="139"/>
      <c r="N17" s="3"/>
    </row>
    <row r="18" spans="2:14" ht="19.5" customHeight="1" x14ac:dyDescent="0.2">
      <c r="B18" s="47">
        <v>2</v>
      </c>
      <c r="C18" s="139" t="s">
        <v>210</v>
      </c>
      <c r="D18" s="139"/>
      <c r="E18" s="139"/>
      <c r="F18" s="139"/>
      <c r="G18" s="139"/>
      <c r="H18" s="139"/>
      <c r="I18" s="139"/>
      <c r="J18" s="139"/>
      <c r="K18" s="139"/>
      <c r="L18" s="139"/>
      <c r="N18" s="3"/>
    </row>
    <row r="19" spans="2:14" ht="19.5" customHeight="1" x14ac:dyDescent="0.2">
      <c r="B19" s="47">
        <v>3</v>
      </c>
      <c r="C19" s="139" t="s">
        <v>211</v>
      </c>
      <c r="D19" s="139"/>
      <c r="E19" s="139"/>
      <c r="F19" s="139"/>
      <c r="G19" s="139"/>
      <c r="H19" s="139"/>
      <c r="I19" s="139"/>
      <c r="J19" s="139"/>
      <c r="K19" s="139"/>
      <c r="L19" s="139"/>
      <c r="N19" s="3"/>
    </row>
    <row r="20" spans="2:14" ht="19.5" customHeight="1" x14ac:dyDescent="0.2">
      <c r="B20" s="47">
        <v>4</v>
      </c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N20" s="3"/>
    </row>
    <row r="21" spans="2:14" ht="19.5" customHeight="1" x14ac:dyDescent="0.2">
      <c r="B21" s="47">
        <v>5</v>
      </c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N21" s="3"/>
    </row>
    <row r="22" spans="2:14" ht="19.5" customHeight="1" x14ac:dyDescent="0.2">
      <c r="B22" s="47">
        <v>6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N22" s="3"/>
    </row>
    <row r="23" spans="2:14" ht="15" customHeight="1" x14ac:dyDescent="0.2">
      <c r="B23" s="2"/>
      <c r="N23" s="3"/>
    </row>
    <row r="24" spans="2:14" ht="21.75" customHeight="1" x14ac:dyDescent="0.2">
      <c r="B24" s="106" t="s">
        <v>212</v>
      </c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N24" s="3"/>
    </row>
    <row r="25" spans="2:14" ht="24" customHeight="1" x14ac:dyDescent="0.2">
      <c r="B25" s="48" t="s">
        <v>207</v>
      </c>
      <c r="C25" s="49" t="s">
        <v>213</v>
      </c>
      <c r="D25" s="164" t="s">
        <v>95</v>
      </c>
      <c r="E25" s="49" t="s">
        <v>96</v>
      </c>
      <c r="F25" s="49" t="s">
        <v>97</v>
      </c>
      <c r="G25" s="49" t="s">
        <v>214</v>
      </c>
      <c r="H25" s="49" t="s">
        <v>215</v>
      </c>
      <c r="I25" s="49" t="s">
        <v>216</v>
      </c>
      <c r="J25" s="49" t="s">
        <v>217</v>
      </c>
      <c r="K25" s="49" t="s">
        <v>218</v>
      </c>
      <c r="L25" s="49" t="s">
        <v>219</v>
      </c>
      <c r="N25" s="3"/>
    </row>
    <row r="26" spans="2:14" ht="18" customHeight="1" x14ac:dyDescent="0.2">
      <c r="B26" s="50">
        <v>1</v>
      </c>
      <c r="C26" s="166" t="s">
        <v>209</v>
      </c>
      <c r="D26" s="167" t="s">
        <v>142</v>
      </c>
      <c r="E26" s="166" t="s">
        <v>144</v>
      </c>
      <c r="F26" s="32" t="str">
        <f>IFERROR(IF(E26="","",VLOOKUP(E26,'2. Materials'!$C$16:$H$90,2,FALSE())),"")</f>
        <v>ea</v>
      </c>
      <c r="G26" s="52">
        <v>1</v>
      </c>
      <c r="H26" s="53">
        <f>IFERROR(IF(E26="","",VLOOKUP(E26,'2. Materials'!$C$16:$H$90,5,FALSE())),"")</f>
        <v>166.75</v>
      </c>
      <c r="I26" s="28">
        <f t="shared" ref="I26:I47" si="0">IFERROR(IF(OR(G26="",H26=""),0,G26*H26),0)</f>
        <v>166.75</v>
      </c>
      <c r="J26" s="52">
        <v>2</v>
      </c>
      <c r="K26" s="53">
        <f>'1. Your Setup'!$F$9</f>
        <v>45</v>
      </c>
      <c r="L26" s="28">
        <f t="shared" ref="L26:L47" si="1">IFERROR(I26+IFERROR(J26*K26,0),0)</f>
        <v>256.75</v>
      </c>
      <c r="N26" s="3"/>
    </row>
    <row r="27" spans="2:14" ht="18" customHeight="1" x14ac:dyDescent="0.2">
      <c r="B27" s="54">
        <v>2</v>
      </c>
      <c r="C27" s="166" t="s">
        <v>209</v>
      </c>
      <c r="D27" s="167" t="s">
        <v>142</v>
      </c>
      <c r="E27" s="166" t="s">
        <v>146</v>
      </c>
      <c r="F27" s="32" t="str">
        <f>IFERROR(IF(E27="","",VLOOKUP(E27,'2. Materials'!$C$16:$H$90,2,FALSE())),"")</f>
        <v>ea</v>
      </c>
      <c r="G27" s="52">
        <v>4</v>
      </c>
      <c r="H27" s="53">
        <f>IFERROR(IF(E27="","",VLOOKUP(E27,'2. Materials'!$C$16:$H$90,5,FALSE())),"")</f>
        <v>21.599999999999998</v>
      </c>
      <c r="I27" s="33">
        <f t="shared" si="0"/>
        <v>86.399999999999991</v>
      </c>
      <c r="J27" s="52">
        <v>0.2</v>
      </c>
      <c r="K27" s="53">
        <f>'1. Your Setup'!$F$9</f>
        <v>45</v>
      </c>
      <c r="L27" s="33">
        <f t="shared" si="1"/>
        <v>95.399999999999991</v>
      </c>
      <c r="N27" s="3"/>
    </row>
    <row r="28" spans="2:14" ht="18" customHeight="1" x14ac:dyDescent="0.2">
      <c r="B28" s="50">
        <v>3</v>
      </c>
      <c r="C28" s="166" t="s">
        <v>209</v>
      </c>
      <c r="D28" s="167" t="s">
        <v>142</v>
      </c>
      <c r="E28" s="166" t="s">
        <v>147</v>
      </c>
      <c r="F28" s="32" t="str">
        <f>IFERROR(IF(E28="","",VLOOKUP(E28,'2. Materials'!$C$16:$H$90,2,FALSE())),"")</f>
        <v>ea</v>
      </c>
      <c r="G28" s="52">
        <v>3</v>
      </c>
      <c r="H28" s="53">
        <f>IFERROR(IF(E28="","",VLOOKUP(E28,'2. Materials'!$C$16:$H$90,5,FALSE())),"")</f>
        <v>21.599999999999998</v>
      </c>
      <c r="I28" s="28">
        <f t="shared" si="0"/>
        <v>64.8</v>
      </c>
      <c r="J28" s="52">
        <v>0.2</v>
      </c>
      <c r="K28" s="53">
        <f>'1. Your Setup'!$F$9</f>
        <v>45</v>
      </c>
      <c r="L28" s="28">
        <f t="shared" si="1"/>
        <v>73.8</v>
      </c>
      <c r="N28" s="3"/>
    </row>
    <row r="29" spans="2:14" ht="18" customHeight="1" x14ac:dyDescent="0.2">
      <c r="B29" s="54">
        <v>4</v>
      </c>
      <c r="C29" s="166"/>
      <c r="D29" s="167"/>
      <c r="E29" s="166"/>
      <c r="F29" s="32" t="str">
        <f>IFERROR(IF(E29="","",VLOOKUP(E29,'2. Materials'!$C$16:$H$90,2,FALSE())),"")</f>
        <v/>
      </c>
      <c r="G29" s="52"/>
      <c r="H29" s="53" t="str">
        <f>IFERROR(IF(E29="","",VLOOKUP(E29,'2. Materials'!$C$16:$H$90,5,FALSE())),"")</f>
        <v/>
      </c>
      <c r="I29" s="33">
        <f t="shared" si="0"/>
        <v>0</v>
      </c>
      <c r="J29" s="52"/>
      <c r="K29" s="53">
        <f>'1. Your Setup'!$F$9</f>
        <v>45</v>
      </c>
      <c r="L29" s="33">
        <f t="shared" si="1"/>
        <v>0</v>
      </c>
      <c r="N29" s="3"/>
    </row>
    <row r="30" spans="2:14" ht="18" customHeight="1" x14ac:dyDescent="0.2">
      <c r="B30" s="50">
        <v>5</v>
      </c>
      <c r="C30" s="166" t="s">
        <v>211</v>
      </c>
      <c r="D30" s="167" t="s">
        <v>160</v>
      </c>
      <c r="E30" s="166" t="s">
        <v>163</v>
      </c>
      <c r="F30" s="32" t="str">
        <f>IFERROR(IF(E30="","",VLOOKUP(E30,'2. Materials'!$C$16:$H$90,2,FALSE())),"")</f>
        <v>ea</v>
      </c>
      <c r="G30" s="52">
        <v>1</v>
      </c>
      <c r="H30" s="53">
        <f>IFERROR(IF(E30="","",VLOOKUP(E30,'2. Materials'!$C$16:$H$90,5,FALSE())),"")</f>
        <v>0</v>
      </c>
      <c r="I30" s="28">
        <f t="shared" si="0"/>
        <v>0</v>
      </c>
      <c r="J30" s="52">
        <v>4</v>
      </c>
      <c r="K30" s="53">
        <f>'1. Your Setup'!$F$9</f>
        <v>45</v>
      </c>
      <c r="L30" s="28">
        <f t="shared" si="1"/>
        <v>180</v>
      </c>
      <c r="N30" s="3"/>
    </row>
    <row r="31" spans="2:14" ht="18" customHeight="1" x14ac:dyDescent="0.2">
      <c r="B31" s="54">
        <v>6</v>
      </c>
      <c r="C31" s="166"/>
      <c r="D31" s="167"/>
      <c r="E31" s="166"/>
      <c r="F31" s="32" t="str">
        <f>IFERROR(IF(E31="","",VLOOKUP(E31,'2. Materials'!$C$16:$H$90,2,FALSE())),"")</f>
        <v/>
      </c>
      <c r="G31" s="52"/>
      <c r="H31" s="53" t="str">
        <f>IFERROR(IF(E31="","",VLOOKUP(E31,'2. Materials'!$C$16:$H$90,5,FALSE())),"")</f>
        <v/>
      </c>
      <c r="I31" s="33">
        <f t="shared" si="0"/>
        <v>0</v>
      </c>
      <c r="J31" s="52"/>
      <c r="K31" s="53">
        <f>'1. Your Setup'!$F$9</f>
        <v>45</v>
      </c>
      <c r="L31" s="33">
        <f t="shared" si="1"/>
        <v>0</v>
      </c>
      <c r="N31" s="3"/>
    </row>
    <row r="32" spans="2:14" ht="18" customHeight="1" x14ac:dyDescent="0.2">
      <c r="B32" s="50">
        <v>7</v>
      </c>
      <c r="C32" s="166"/>
      <c r="D32" s="167"/>
      <c r="E32" s="166"/>
      <c r="F32" s="32" t="str">
        <f>IFERROR(IF(E32="","",VLOOKUP(E32,'2. Materials'!$C$16:$H$90,2,FALSE())),"")</f>
        <v/>
      </c>
      <c r="G32" s="52"/>
      <c r="H32" s="53" t="str">
        <f>IFERROR(IF(E32="","",VLOOKUP(E32,'2. Materials'!$C$16:$H$90,5,FALSE())),"")</f>
        <v/>
      </c>
      <c r="I32" s="28">
        <f t="shared" si="0"/>
        <v>0</v>
      </c>
      <c r="J32" s="52"/>
      <c r="K32" s="53">
        <f>'1. Your Setup'!$F$9</f>
        <v>45</v>
      </c>
      <c r="L32" s="28">
        <f t="shared" si="1"/>
        <v>0</v>
      </c>
      <c r="N32" s="3"/>
    </row>
    <row r="33" spans="2:14" ht="18" customHeight="1" x14ac:dyDescent="0.2">
      <c r="B33" s="54">
        <v>8</v>
      </c>
      <c r="C33" s="166"/>
      <c r="D33" s="167"/>
      <c r="E33" s="166"/>
      <c r="F33" s="32" t="str">
        <f>IFERROR(IF(E33="","",VLOOKUP(E33,'2. Materials'!$C$16:$H$90,2,FALSE())),"")</f>
        <v/>
      </c>
      <c r="G33" s="52"/>
      <c r="H33" s="53" t="str">
        <f>IFERROR(IF(E33="","",VLOOKUP(E33,'2. Materials'!$C$16:$H$90,5,FALSE())),"")</f>
        <v/>
      </c>
      <c r="I33" s="33">
        <f t="shared" si="0"/>
        <v>0</v>
      </c>
      <c r="J33" s="52"/>
      <c r="K33" s="53">
        <f>'1. Your Setup'!$F$9</f>
        <v>45</v>
      </c>
      <c r="L33" s="33">
        <f t="shared" si="1"/>
        <v>0</v>
      </c>
      <c r="N33" s="3"/>
    </row>
    <row r="34" spans="2:14" ht="18" customHeight="1" x14ac:dyDescent="0.2">
      <c r="B34" s="50">
        <v>9</v>
      </c>
      <c r="C34" s="166"/>
      <c r="D34" s="167"/>
      <c r="E34" s="166"/>
      <c r="F34" s="32" t="str">
        <f>IFERROR(IF(E34="","",VLOOKUP(E34,'2. Materials'!$C$16:$H$90,2,FALSE())),"")</f>
        <v/>
      </c>
      <c r="G34" s="52"/>
      <c r="H34" s="53" t="str">
        <f>IFERROR(IF(E34="","",VLOOKUP(E34,'2. Materials'!$C$16:$H$90,5,FALSE())),"")</f>
        <v/>
      </c>
      <c r="I34" s="28">
        <f t="shared" si="0"/>
        <v>0</v>
      </c>
      <c r="J34" s="52"/>
      <c r="K34" s="53">
        <f>'1. Your Setup'!$F$9</f>
        <v>45</v>
      </c>
      <c r="L34" s="28">
        <f t="shared" si="1"/>
        <v>0</v>
      </c>
      <c r="N34" s="3"/>
    </row>
    <row r="35" spans="2:14" ht="18" customHeight="1" x14ac:dyDescent="0.2">
      <c r="B35" s="54">
        <v>10</v>
      </c>
      <c r="C35" s="166"/>
      <c r="D35" s="167"/>
      <c r="E35" s="166"/>
      <c r="F35" s="32" t="str">
        <f>IFERROR(IF(E35="","",VLOOKUP(E35,'2. Materials'!$C$16:$H$90,2,FALSE())),"")</f>
        <v/>
      </c>
      <c r="G35" s="52"/>
      <c r="H35" s="53" t="str">
        <f>IFERROR(IF(E35="","",VLOOKUP(E35,'2. Materials'!$C$16:$H$90,5,FALSE())),"")</f>
        <v/>
      </c>
      <c r="I35" s="33">
        <f t="shared" si="0"/>
        <v>0</v>
      </c>
      <c r="J35" s="52"/>
      <c r="K35" s="53">
        <f>'1. Your Setup'!$F$9</f>
        <v>45</v>
      </c>
      <c r="L35" s="33">
        <f t="shared" si="1"/>
        <v>0</v>
      </c>
      <c r="N35" s="3"/>
    </row>
    <row r="36" spans="2:14" ht="18" customHeight="1" x14ac:dyDescent="0.2">
      <c r="B36" s="50">
        <v>11</v>
      </c>
      <c r="C36" s="166"/>
      <c r="D36" s="167"/>
      <c r="E36" s="166"/>
      <c r="F36" s="32" t="str">
        <f>IFERROR(IF(E36="","",VLOOKUP(E36,'2. Materials'!$C$16:$H$90,2,FALSE())),"")</f>
        <v/>
      </c>
      <c r="G36" s="52"/>
      <c r="H36" s="53" t="str">
        <f>IFERROR(IF(E36="","",VLOOKUP(E36,'2. Materials'!$C$16:$H$90,5,FALSE())),"")</f>
        <v/>
      </c>
      <c r="I36" s="28">
        <f t="shared" si="0"/>
        <v>0</v>
      </c>
      <c r="J36" s="52"/>
      <c r="K36" s="53">
        <f>'1. Your Setup'!$F$9</f>
        <v>45</v>
      </c>
      <c r="L36" s="28">
        <f t="shared" si="1"/>
        <v>0</v>
      </c>
      <c r="N36" s="3"/>
    </row>
    <row r="37" spans="2:14" ht="18" customHeight="1" x14ac:dyDescent="0.2">
      <c r="B37" s="54">
        <v>12</v>
      </c>
      <c r="C37" s="166"/>
      <c r="D37" s="167"/>
      <c r="E37" s="166"/>
      <c r="F37" s="32" t="str">
        <f>IFERROR(IF(E37="","",VLOOKUP(E37,'2. Materials'!$C$16:$H$90,2,FALSE())),"")</f>
        <v/>
      </c>
      <c r="G37" s="52"/>
      <c r="H37" s="53" t="str">
        <f>IFERROR(IF(E37="","",VLOOKUP(E37,'2. Materials'!$C$16:$H$90,5,FALSE())),"")</f>
        <v/>
      </c>
      <c r="I37" s="33">
        <f t="shared" si="0"/>
        <v>0</v>
      </c>
      <c r="J37" s="52"/>
      <c r="K37" s="53">
        <f>'1. Your Setup'!$F$9</f>
        <v>45</v>
      </c>
      <c r="L37" s="33">
        <f t="shared" si="1"/>
        <v>0</v>
      </c>
      <c r="N37" s="3"/>
    </row>
    <row r="38" spans="2:14" ht="18" customHeight="1" x14ac:dyDescent="0.2">
      <c r="B38" s="50">
        <v>13</v>
      </c>
      <c r="C38" s="166"/>
      <c r="D38" s="167"/>
      <c r="E38" s="166"/>
      <c r="F38" s="32" t="str">
        <f>IFERROR(IF(E38="","",VLOOKUP(E38,'2. Materials'!$C$16:$H$90,2,FALSE())),"")</f>
        <v/>
      </c>
      <c r="G38" s="52"/>
      <c r="H38" s="53" t="str">
        <f>IFERROR(IF(E38="","",VLOOKUP(E38,'2. Materials'!$C$16:$H$90,5,FALSE())),"")</f>
        <v/>
      </c>
      <c r="I38" s="28">
        <f t="shared" si="0"/>
        <v>0</v>
      </c>
      <c r="J38" s="52"/>
      <c r="K38" s="53">
        <f>'1. Your Setup'!$F$9</f>
        <v>45</v>
      </c>
      <c r="L38" s="28">
        <f t="shared" si="1"/>
        <v>0</v>
      </c>
      <c r="N38" s="3"/>
    </row>
    <row r="39" spans="2:14" ht="18" customHeight="1" x14ac:dyDescent="0.2">
      <c r="B39" s="54">
        <v>14</v>
      </c>
      <c r="C39" s="166"/>
      <c r="D39" s="167"/>
      <c r="E39" s="166"/>
      <c r="F39" s="32" t="str">
        <f>IFERROR(IF(E39="","",VLOOKUP(E39,'2. Materials'!$C$16:$H$90,2,FALSE())),"")</f>
        <v/>
      </c>
      <c r="G39" s="52"/>
      <c r="H39" s="53" t="str">
        <f>IFERROR(IF(E39="","",VLOOKUP(E39,'2. Materials'!$C$16:$H$90,5,FALSE())),"")</f>
        <v/>
      </c>
      <c r="I39" s="33">
        <f t="shared" si="0"/>
        <v>0</v>
      </c>
      <c r="J39" s="52"/>
      <c r="K39" s="53">
        <f>'1. Your Setup'!$F$9</f>
        <v>45</v>
      </c>
      <c r="L39" s="33">
        <f t="shared" si="1"/>
        <v>0</v>
      </c>
      <c r="N39" s="3"/>
    </row>
    <row r="40" spans="2:14" ht="18" customHeight="1" x14ac:dyDescent="0.2">
      <c r="B40" s="50">
        <v>15</v>
      </c>
      <c r="C40" s="166"/>
      <c r="D40" s="167"/>
      <c r="E40" s="166"/>
      <c r="F40" s="32" t="str">
        <f>IFERROR(IF(E40="","",VLOOKUP(E40,'2. Materials'!$C$16:$H$90,2,FALSE())),"")</f>
        <v/>
      </c>
      <c r="G40" s="52"/>
      <c r="H40" s="53" t="str">
        <f>IFERROR(IF(E40="","",VLOOKUP(E40,'2. Materials'!$C$16:$H$90,5,FALSE())),"")</f>
        <v/>
      </c>
      <c r="I40" s="28">
        <f t="shared" si="0"/>
        <v>0</v>
      </c>
      <c r="J40" s="52"/>
      <c r="K40" s="53">
        <f>'1. Your Setup'!$F$9</f>
        <v>45</v>
      </c>
      <c r="L40" s="28">
        <f t="shared" si="1"/>
        <v>0</v>
      </c>
      <c r="N40" s="3"/>
    </row>
    <row r="41" spans="2:14" ht="18" customHeight="1" x14ac:dyDescent="0.2">
      <c r="B41" s="54">
        <v>16</v>
      </c>
      <c r="C41" s="166"/>
      <c r="D41" s="167"/>
      <c r="E41" s="166"/>
      <c r="F41" s="32" t="str">
        <f>IFERROR(IF(E41="","",VLOOKUP(E41,'2. Materials'!$C$16:$H$90,2,FALSE())),"")</f>
        <v/>
      </c>
      <c r="G41" s="52"/>
      <c r="H41" s="53" t="str">
        <f>IFERROR(IF(E41="","",VLOOKUP(E41,'2. Materials'!$C$16:$H$90,5,FALSE())),"")</f>
        <v/>
      </c>
      <c r="I41" s="33">
        <f t="shared" si="0"/>
        <v>0</v>
      </c>
      <c r="J41" s="52"/>
      <c r="K41" s="53">
        <f>'1. Your Setup'!$F$9</f>
        <v>45</v>
      </c>
      <c r="L41" s="33">
        <f t="shared" si="1"/>
        <v>0</v>
      </c>
      <c r="N41" s="3"/>
    </row>
    <row r="42" spans="2:14" ht="18" customHeight="1" x14ac:dyDescent="0.2">
      <c r="B42" s="50">
        <v>17</v>
      </c>
      <c r="C42" s="166"/>
      <c r="D42" s="167"/>
      <c r="E42" s="166"/>
      <c r="F42" s="32" t="str">
        <f>IFERROR(IF(E42="","",VLOOKUP(E42,'2. Materials'!$C$16:$H$90,2,FALSE())),"")</f>
        <v/>
      </c>
      <c r="G42" s="52"/>
      <c r="H42" s="53" t="str">
        <f>IFERROR(IF(E42="","",VLOOKUP(E42,'2. Materials'!$C$16:$H$90,5,FALSE())),"")</f>
        <v/>
      </c>
      <c r="I42" s="28">
        <f t="shared" si="0"/>
        <v>0</v>
      </c>
      <c r="J42" s="52"/>
      <c r="K42" s="53">
        <f>'1. Your Setup'!$F$9</f>
        <v>45</v>
      </c>
      <c r="L42" s="28">
        <f t="shared" si="1"/>
        <v>0</v>
      </c>
      <c r="N42" s="3"/>
    </row>
    <row r="43" spans="2:14" ht="18" customHeight="1" x14ac:dyDescent="0.2">
      <c r="B43" s="54">
        <v>18</v>
      </c>
      <c r="C43" s="166"/>
      <c r="D43" s="167"/>
      <c r="E43" s="166"/>
      <c r="F43" s="32" t="str">
        <f>IFERROR(IF(E43="","",VLOOKUP(E43,'2. Materials'!$C$16:$H$90,2,FALSE())),"")</f>
        <v/>
      </c>
      <c r="G43" s="52"/>
      <c r="H43" s="53" t="str">
        <f>IFERROR(IF(E43="","",VLOOKUP(E43,'2. Materials'!$C$16:$H$90,5,FALSE())),"")</f>
        <v/>
      </c>
      <c r="I43" s="33">
        <f t="shared" si="0"/>
        <v>0</v>
      </c>
      <c r="J43" s="52"/>
      <c r="K43" s="53">
        <f>'1. Your Setup'!$F$9</f>
        <v>45</v>
      </c>
      <c r="L43" s="33">
        <f t="shared" si="1"/>
        <v>0</v>
      </c>
      <c r="N43" s="3"/>
    </row>
    <row r="44" spans="2:14" ht="18" customHeight="1" x14ac:dyDescent="0.2">
      <c r="B44" s="50">
        <v>19</v>
      </c>
      <c r="C44" s="166"/>
      <c r="D44" s="167"/>
      <c r="E44" s="166"/>
      <c r="F44" s="32" t="str">
        <f>IFERROR(IF(E44="","",VLOOKUP(E44,'2. Materials'!$C$16:$H$90,2,FALSE())),"")</f>
        <v/>
      </c>
      <c r="G44" s="52"/>
      <c r="H44" s="53" t="str">
        <f>IFERROR(IF(E44="","",VLOOKUP(E44,'2. Materials'!$C$16:$H$90,5,FALSE())),"")</f>
        <v/>
      </c>
      <c r="I44" s="28">
        <f t="shared" si="0"/>
        <v>0</v>
      </c>
      <c r="J44" s="52"/>
      <c r="K44" s="53">
        <f>'1. Your Setup'!$F$9</f>
        <v>45</v>
      </c>
      <c r="L44" s="28">
        <f t="shared" si="1"/>
        <v>0</v>
      </c>
      <c r="N44" s="3"/>
    </row>
    <row r="45" spans="2:14" ht="18" customHeight="1" x14ac:dyDescent="0.2">
      <c r="B45" s="54">
        <v>20</v>
      </c>
      <c r="C45" s="166"/>
      <c r="D45" s="167"/>
      <c r="E45" s="166"/>
      <c r="F45" s="32" t="str">
        <f>IFERROR(IF(E45="","",VLOOKUP(E45,'2. Materials'!$C$16:$H$90,2,FALSE())),"")</f>
        <v/>
      </c>
      <c r="G45" s="52"/>
      <c r="H45" s="53" t="str">
        <f>IFERROR(IF(E45="","",VLOOKUP(E45,'2. Materials'!$C$16:$H$90,5,FALSE())),"")</f>
        <v/>
      </c>
      <c r="I45" s="33">
        <f t="shared" si="0"/>
        <v>0</v>
      </c>
      <c r="J45" s="52"/>
      <c r="K45" s="53">
        <f>'1. Your Setup'!$F$9</f>
        <v>45</v>
      </c>
      <c r="L45" s="33">
        <f t="shared" si="1"/>
        <v>0</v>
      </c>
      <c r="N45" s="3"/>
    </row>
    <row r="46" spans="2:14" ht="18" customHeight="1" x14ac:dyDescent="0.2">
      <c r="B46" s="50">
        <v>21</v>
      </c>
      <c r="C46" s="166"/>
      <c r="D46" s="167"/>
      <c r="E46" s="166"/>
      <c r="F46" s="32" t="str">
        <f>IFERROR(IF(E46="","",VLOOKUP(E46,'2. Materials'!$C$16:$H$90,2,FALSE())),"")</f>
        <v/>
      </c>
      <c r="G46" s="52"/>
      <c r="H46" s="53" t="str">
        <f>IFERROR(IF(E46="","",VLOOKUP(E46,'2. Materials'!$C$16:$H$90,5,FALSE())),"")</f>
        <v/>
      </c>
      <c r="I46" s="28">
        <f t="shared" si="0"/>
        <v>0</v>
      </c>
      <c r="J46" s="52"/>
      <c r="K46" s="53">
        <f>'1. Your Setup'!$F$9</f>
        <v>45</v>
      </c>
      <c r="L46" s="28">
        <f t="shared" si="1"/>
        <v>0</v>
      </c>
      <c r="N46" s="3"/>
    </row>
    <row r="47" spans="2:14" ht="18" customHeight="1" x14ac:dyDescent="0.2">
      <c r="B47" s="54">
        <v>22</v>
      </c>
      <c r="C47" s="166"/>
      <c r="D47" s="167"/>
      <c r="E47" s="166"/>
      <c r="F47" s="32" t="str">
        <f>IFERROR(IF(E47="","",VLOOKUP(E47,'2. Materials'!$C$16:$H$90,2,FALSE())),"")</f>
        <v/>
      </c>
      <c r="G47" s="52"/>
      <c r="H47" s="53" t="str">
        <f>IFERROR(IF(E47="","",VLOOKUP(E47,'2. Materials'!$C$16:$H$90,5,FALSE())),"")</f>
        <v/>
      </c>
      <c r="I47" s="33">
        <f t="shared" si="0"/>
        <v>0</v>
      </c>
      <c r="J47" s="52"/>
      <c r="K47" s="53">
        <f>'1. Your Setup'!$F$9</f>
        <v>45</v>
      </c>
      <c r="L47" s="33">
        <f t="shared" si="1"/>
        <v>0</v>
      </c>
      <c r="N47" s="3"/>
    </row>
    <row r="48" spans="2:14" ht="21.75" customHeight="1" x14ac:dyDescent="0.2">
      <c r="B48" s="140" t="s">
        <v>220</v>
      </c>
      <c r="C48" s="140"/>
      <c r="D48" s="140"/>
      <c r="E48" s="140"/>
      <c r="F48" s="140"/>
      <c r="G48" s="140"/>
      <c r="H48" s="140"/>
      <c r="I48" s="140"/>
      <c r="J48" s="140"/>
      <c r="K48" s="140"/>
      <c r="L48" s="55">
        <f>SUM(L26:L47)</f>
        <v>605.95000000000005</v>
      </c>
      <c r="N48" s="3"/>
    </row>
    <row r="49" spans="2:14" ht="15" customHeight="1" x14ac:dyDescent="0.2">
      <c r="B49" s="2"/>
      <c r="N49" s="3"/>
    </row>
    <row r="50" spans="2:14" ht="21.75" customHeight="1" x14ac:dyDescent="0.2">
      <c r="B50" s="106" t="s">
        <v>221</v>
      </c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N50" s="3"/>
    </row>
    <row r="51" spans="2:14" ht="21.75" customHeight="1" x14ac:dyDescent="0.2">
      <c r="B51" s="141" t="s">
        <v>222</v>
      </c>
      <c r="C51" s="141"/>
      <c r="D51" s="141"/>
      <c r="E51" s="141"/>
      <c r="F51" s="141"/>
      <c r="G51" s="141"/>
      <c r="H51" s="141"/>
      <c r="I51" s="141"/>
      <c r="J51" s="141"/>
      <c r="K51" s="141"/>
      <c r="L51" s="46" t="s">
        <v>223</v>
      </c>
      <c r="N51" s="3"/>
    </row>
    <row r="52" spans="2:14" ht="19.5" customHeight="1" x14ac:dyDescent="0.2">
      <c r="B52" s="135" t="s">
        <v>224</v>
      </c>
      <c r="C52" s="135"/>
      <c r="D52" s="135"/>
      <c r="E52" s="135"/>
      <c r="F52" s="135"/>
      <c r="G52" s="135"/>
      <c r="H52" s="135"/>
      <c r="I52" s="135"/>
      <c r="J52" s="135"/>
      <c r="K52" s="135"/>
      <c r="L52" s="56">
        <f>'3. Travel'!$C$21</f>
        <v>86.785714285714292</v>
      </c>
      <c r="N52" s="3"/>
    </row>
    <row r="53" spans="2:14" ht="19.5" customHeight="1" x14ac:dyDescent="0.2">
      <c r="B53" s="135" t="s">
        <v>225</v>
      </c>
      <c r="C53" s="135"/>
      <c r="D53" s="135"/>
      <c r="E53" s="135"/>
      <c r="F53" s="135"/>
      <c r="G53" s="135"/>
      <c r="H53" s="135"/>
      <c r="I53" s="135"/>
      <c r="J53" s="135"/>
      <c r="K53" s="135"/>
      <c r="L53" s="56">
        <f>'4. Accommodation'!$C$20</f>
        <v>0</v>
      </c>
      <c r="N53" s="3"/>
    </row>
    <row r="54" spans="2:14" ht="19.5" customHeight="1" x14ac:dyDescent="0.2">
      <c r="B54" s="135" t="s">
        <v>226</v>
      </c>
      <c r="C54" s="135"/>
      <c r="D54" s="135"/>
      <c r="E54" s="135"/>
      <c r="F54" s="135"/>
      <c r="G54" s="135"/>
      <c r="H54" s="135"/>
      <c r="I54" s="135"/>
      <c r="J54" s="135"/>
      <c r="K54" s="135"/>
      <c r="L54" s="56">
        <f>'1. Your Setup'!$C$29*'3. Travel'!$C$10</f>
        <v>41</v>
      </c>
      <c r="N54" s="3"/>
    </row>
    <row r="55" spans="2:14" ht="19.5" customHeight="1" x14ac:dyDescent="0.2">
      <c r="B55" s="135" t="s">
        <v>227</v>
      </c>
      <c r="C55" s="135"/>
      <c r="D55" s="135"/>
      <c r="E55" s="135"/>
      <c r="F55" s="135"/>
      <c r="G55" s="135"/>
      <c r="H55" s="135"/>
      <c r="I55" s="135"/>
      <c r="J55" s="135"/>
      <c r="K55" s="135"/>
      <c r="L55" s="12">
        <v>0</v>
      </c>
      <c r="N55" s="3"/>
    </row>
    <row r="56" spans="2:14" ht="19.5" customHeight="1" x14ac:dyDescent="0.2">
      <c r="B56" s="138" t="s">
        <v>228</v>
      </c>
      <c r="C56" s="138"/>
      <c r="D56" s="138"/>
      <c r="E56" s="138"/>
      <c r="F56" s="138"/>
      <c r="G56" s="138"/>
      <c r="H56" s="138"/>
      <c r="I56" s="138"/>
      <c r="J56" s="138"/>
      <c r="K56" s="138"/>
      <c r="L56" s="56">
        <f>L55*'1. Your Setup'!$F$16</f>
        <v>0</v>
      </c>
      <c r="N56" s="3"/>
    </row>
    <row r="57" spans="2:14" ht="19.5" customHeight="1" x14ac:dyDescent="0.2">
      <c r="B57" s="135" t="s">
        <v>229</v>
      </c>
      <c r="C57" s="135"/>
      <c r="D57" s="135"/>
      <c r="E57" s="135"/>
      <c r="F57" s="135"/>
      <c r="G57" s="135"/>
      <c r="H57" s="135"/>
      <c r="I57" s="135"/>
      <c r="J57" s="135"/>
      <c r="K57" s="135"/>
      <c r="L57" s="12">
        <v>0</v>
      </c>
      <c r="N57" s="3"/>
    </row>
    <row r="58" spans="2:14" ht="15" customHeight="1" x14ac:dyDescent="0.2">
      <c r="B58" s="2"/>
      <c r="N58" s="3"/>
    </row>
    <row r="59" spans="2:14" ht="21.75" customHeight="1" x14ac:dyDescent="0.2">
      <c r="B59" s="101" t="s">
        <v>230</v>
      </c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N59" s="3"/>
    </row>
    <row r="60" spans="2:14" ht="21.75" customHeight="1" x14ac:dyDescent="0.2">
      <c r="B60" s="134" t="s">
        <v>231</v>
      </c>
      <c r="C60" s="134"/>
      <c r="D60" s="134"/>
      <c r="E60" s="134"/>
      <c r="F60" s="134"/>
      <c r="G60" s="134"/>
      <c r="H60" s="134"/>
      <c r="I60" s="134"/>
      <c r="J60" s="134"/>
      <c r="K60" s="134"/>
      <c r="L60" s="28">
        <f>L48+L52+L53+L54+L55+L56+L57</f>
        <v>733.73571428571438</v>
      </c>
      <c r="N60" s="3"/>
    </row>
    <row r="61" spans="2:14" ht="19.5" customHeight="1" x14ac:dyDescent="0.2">
      <c r="B61" s="135" t="s">
        <v>232</v>
      </c>
      <c r="C61" s="135"/>
      <c r="D61" s="135"/>
      <c r="E61" s="135"/>
      <c r="F61" s="135"/>
      <c r="G61" s="135"/>
      <c r="H61" s="135"/>
      <c r="I61" s="135"/>
      <c r="J61" s="135"/>
      <c r="K61" s="57">
        <f>'1. Your Setup'!$F$14</f>
        <v>0.05</v>
      </c>
      <c r="L61" s="58">
        <f>L60*K61</f>
        <v>36.686785714285719</v>
      </c>
      <c r="N61" s="3"/>
    </row>
    <row r="62" spans="2:14" ht="19.5" customHeight="1" x14ac:dyDescent="0.2">
      <c r="B62" s="135" t="s">
        <v>233</v>
      </c>
      <c r="C62" s="135"/>
      <c r="D62" s="135"/>
      <c r="E62" s="135"/>
      <c r="F62" s="135"/>
      <c r="G62" s="135"/>
      <c r="H62" s="135"/>
      <c r="I62" s="135"/>
      <c r="J62" s="135"/>
      <c r="K62" s="57">
        <f>'1. Your Setup'!$F$12</f>
        <v>0.1</v>
      </c>
      <c r="L62" s="58">
        <f>(L60+L61)*K62</f>
        <v>77.042250000000024</v>
      </c>
      <c r="N62" s="3"/>
    </row>
    <row r="63" spans="2:14" ht="21.75" customHeight="1" x14ac:dyDescent="0.2">
      <c r="B63" s="134" t="s">
        <v>234</v>
      </c>
      <c r="C63" s="134"/>
      <c r="D63" s="134"/>
      <c r="E63" s="134"/>
      <c r="F63" s="134"/>
      <c r="G63" s="134"/>
      <c r="H63" s="134"/>
      <c r="I63" s="134"/>
      <c r="J63" s="134"/>
      <c r="K63" s="134"/>
      <c r="L63" s="33">
        <f>L60+L61+L62</f>
        <v>847.46475000000009</v>
      </c>
      <c r="N63" s="3"/>
    </row>
    <row r="64" spans="2:14" ht="19.5" customHeight="1" x14ac:dyDescent="0.2">
      <c r="B64" s="135" t="s">
        <v>235</v>
      </c>
      <c r="C64" s="135"/>
      <c r="D64" s="135"/>
      <c r="E64" s="135"/>
      <c r="F64" s="135"/>
      <c r="G64" s="135"/>
      <c r="H64" s="135"/>
      <c r="I64" s="135"/>
      <c r="J64" s="135"/>
      <c r="K64" s="59">
        <f>'1. Your Setup'!$F$13</f>
        <v>0.2</v>
      </c>
      <c r="L64" s="58">
        <f>IFERROR(L63/(1-K64)-L63,0)</f>
        <v>211.86618750000002</v>
      </c>
      <c r="N64" s="3"/>
    </row>
    <row r="65" spans="2:14" ht="27.75" customHeight="1" x14ac:dyDescent="0.2">
      <c r="B65" s="136" t="s">
        <v>236</v>
      </c>
      <c r="C65" s="136"/>
      <c r="D65" s="136"/>
      <c r="E65" s="136"/>
      <c r="F65" s="136"/>
      <c r="G65" s="136"/>
      <c r="H65" s="136"/>
      <c r="I65" s="136"/>
      <c r="J65" s="136"/>
      <c r="K65" s="136"/>
      <c r="L65" s="60">
        <f>L63+L64</f>
        <v>1059.3309375000001</v>
      </c>
      <c r="N65" s="3"/>
    </row>
    <row r="66" spans="2:14" ht="19.5" customHeight="1" x14ac:dyDescent="0.2">
      <c r="B66" s="135" t="s">
        <v>237</v>
      </c>
      <c r="C66" s="135"/>
      <c r="D66" s="135"/>
      <c r="E66" s="135"/>
      <c r="F66" s="135"/>
      <c r="G66" s="135"/>
      <c r="H66" s="135"/>
      <c r="I66" s="135"/>
      <c r="J66" s="135"/>
      <c r="K66" s="36">
        <v>0.2</v>
      </c>
      <c r="L66" s="58">
        <f>IF('1. Your Setup'!$C$14="",0,L65*K66)</f>
        <v>0</v>
      </c>
      <c r="N66" s="3"/>
    </row>
    <row r="67" spans="2:14" ht="33.75" customHeight="1" x14ac:dyDescent="0.2">
      <c r="B67" s="137" t="s">
        <v>238</v>
      </c>
      <c r="C67" s="137"/>
      <c r="D67" s="137"/>
      <c r="E67" s="137"/>
      <c r="F67" s="137"/>
      <c r="G67" s="137"/>
      <c r="H67" s="137"/>
      <c r="I67" s="137"/>
      <c r="J67" s="137"/>
      <c r="K67" s="137"/>
      <c r="L67" s="61">
        <f>L65+L66</f>
        <v>1059.3309375000001</v>
      </c>
      <c r="N67" s="3"/>
    </row>
    <row r="68" spans="2:14" ht="15" customHeight="1" x14ac:dyDescent="0.2">
      <c r="B68" s="2"/>
      <c r="N68" s="3"/>
    </row>
    <row r="69" spans="2:14" ht="21.75" customHeight="1" x14ac:dyDescent="0.2">
      <c r="B69" s="106" t="s">
        <v>239</v>
      </c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N69" s="3"/>
    </row>
    <row r="70" spans="2:14" ht="13.5" customHeight="1" x14ac:dyDescent="0.2">
      <c r="B70" s="128" t="s">
        <v>234</v>
      </c>
      <c r="C70" s="128"/>
      <c r="D70" s="128"/>
      <c r="E70" s="128"/>
      <c r="F70" s="129" t="s">
        <v>240</v>
      </c>
      <c r="G70" s="129"/>
      <c r="H70" s="129"/>
      <c r="I70" s="129" t="s">
        <v>241</v>
      </c>
      <c r="J70" s="129"/>
      <c r="K70" s="129"/>
      <c r="L70" s="129"/>
      <c r="N70" s="3"/>
    </row>
    <row r="71" spans="2:14" ht="24" customHeight="1" x14ac:dyDescent="0.2">
      <c r="B71" s="133">
        <f>L63</f>
        <v>847.46475000000009</v>
      </c>
      <c r="C71" s="133"/>
      <c r="D71" s="133"/>
      <c r="E71" s="133"/>
      <c r="F71" s="132">
        <f>L65</f>
        <v>1059.3309375000001</v>
      </c>
      <c r="G71" s="132"/>
      <c r="H71" s="132"/>
      <c r="I71" s="132">
        <f>L65-L63</f>
        <v>211.86618750000002</v>
      </c>
      <c r="J71" s="132"/>
      <c r="K71" s="132"/>
      <c r="L71" s="132"/>
      <c r="N71" s="3"/>
    </row>
    <row r="72" spans="2:14" ht="13.5" customHeight="1" x14ac:dyDescent="0.2">
      <c r="B72" s="128" t="s">
        <v>242</v>
      </c>
      <c r="C72" s="128"/>
      <c r="D72" s="128"/>
      <c r="E72" s="128"/>
      <c r="F72" s="129" t="s">
        <v>243</v>
      </c>
      <c r="G72" s="129"/>
      <c r="H72" s="129"/>
      <c r="I72" s="129" t="s">
        <v>244</v>
      </c>
      <c r="J72" s="129"/>
      <c r="K72" s="129"/>
      <c r="L72" s="129"/>
      <c r="N72" s="3"/>
    </row>
    <row r="73" spans="2:14" ht="24" customHeight="1" x14ac:dyDescent="0.2">
      <c r="B73" s="130">
        <f>IFERROR((L65-L63)/L65,0)</f>
        <v>0.2</v>
      </c>
      <c r="C73" s="130"/>
      <c r="D73" s="130"/>
      <c r="E73" s="130"/>
      <c r="F73" s="131">
        <f>'3. Travel'!$C$10</f>
        <v>1</v>
      </c>
      <c r="G73" s="131"/>
      <c r="H73" s="131"/>
      <c r="I73" s="132">
        <f>IFERROR((L65-L63)/'3. Travel'!$C$10,0)</f>
        <v>211.86618750000002</v>
      </c>
      <c r="J73" s="132"/>
      <c r="K73" s="132"/>
      <c r="L73" s="132"/>
      <c r="N73" s="3"/>
    </row>
    <row r="74" spans="2:14" ht="15" customHeight="1" x14ac:dyDescent="0.2">
      <c r="B74" s="37"/>
      <c r="C74" s="17"/>
      <c r="D74" s="165"/>
      <c r="E74" s="17"/>
      <c r="F74" s="17"/>
      <c r="G74" s="17"/>
      <c r="H74" s="17"/>
      <c r="I74" s="17"/>
      <c r="J74" s="17"/>
      <c r="K74" s="17"/>
      <c r="L74" s="17"/>
      <c r="M74" s="17"/>
      <c r="N74" s="18"/>
    </row>
    <row r="75" spans="2:14" ht="15" hidden="1" customHeight="1" x14ac:dyDescent="0.2"/>
    <row r="76" spans="2:14" ht="15" hidden="1" customHeight="1" x14ac:dyDescent="0.2"/>
    <row r="77" spans="2:14" ht="15" hidden="1" customHeight="1" x14ac:dyDescent="0.2"/>
    <row r="78" spans="2:14" ht="15" hidden="1" customHeight="1" x14ac:dyDescent="0.2"/>
    <row r="79" spans="2:14" ht="15" hidden="1" customHeight="1" x14ac:dyDescent="0.2"/>
    <row r="80" spans="2:14" ht="15" hidden="1" customHeight="1" x14ac:dyDescent="0.2"/>
    <row r="81" ht="15" hidden="1" customHeight="1" x14ac:dyDescent="0.2"/>
    <row r="82" ht="15" hidden="1" customHeight="1" x14ac:dyDescent="0.2"/>
    <row r="83" ht="15" hidden="1" customHeight="1" x14ac:dyDescent="0.2"/>
    <row r="84" ht="15" hidden="1" customHeight="1" x14ac:dyDescent="0.2"/>
    <row r="85" ht="15" hidden="1" customHeight="1" x14ac:dyDescent="0.2"/>
    <row r="86" ht="15" hidden="1" customHeight="1" x14ac:dyDescent="0.2"/>
    <row r="87" ht="15" hidden="1" customHeight="1" x14ac:dyDescent="0.2"/>
    <row r="88" ht="15" hidden="1" customHeight="1" x14ac:dyDescent="0.2"/>
    <row r="89" ht="15" hidden="1" customHeight="1" x14ac:dyDescent="0.2"/>
    <row r="90" ht="15" hidden="1" customHeight="1" x14ac:dyDescent="0.2"/>
    <row r="91" ht="15" hidden="1" customHeight="1" x14ac:dyDescent="0.2"/>
    <row r="92" ht="15" hidden="1" customHeight="1" x14ac:dyDescent="0.2"/>
    <row r="93" ht="15" hidden="1" customHeight="1" x14ac:dyDescent="0.2"/>
    <row r="94" ht="15" hidden="1" customHeight="1" x14ac:dyDescent="0.2"/>
    <row r="95" ht="15" hidden="1" customHeight="1" x14ac:dyDescent="0.2"/>
    <row r="96" ht="15" hidden="1" customHeight="1" x14ac:dyDescent="0.2"/>
    <row r="97" ht="15" hidden="1" customHeight="1" x14ac:dyDescent="0.2"/>
    <row r="98" ht="15" hidden="1" customHeight="1" x14ac:dyDescent="0.2"/>
    <row r="99" ht="15" hidden="1" customHeight="1" x14ac:dyDescent="0.2"/>
    <row r="100" ht="15" hidden="1" customHeight="1" x14ac:dyDescent="0.2"/>
    <row r="101" ht="15" hidden="1" customHeight="1" x14ac:dyDescent="0.2"/>
    <row r="102" ht="15" hidden="1" customHeight="1" x14ac:dyDescent="0.2"/>
    <row r="103" ht="15" hidden="1" customHeight="1" x14ac:dyDescent="0.2"/>
    <row r="104" ht="15" hidden="1" customHeight="1" x14ac:dyDescent="0.2"/>
    <row r="105" ht="15" hidden="1" customHeight="1" x14ac:dyDescent="0.2"/>
    <row r="106" ht="15" hidden="1" customHeight="1" x14ac:dyDescent="0.2"/>
    <row r="107" ht="15" hidden="1" customHeight="1" x14ac:dyDescent="0.2"/>
    <row r="108" ht="15" hidden="1" customHeight="1" x14ac:dyDescent="0.2"/>
    <row r="109" ht="15" hidden="1" customHeight="1" x14ac:dyDescent="0.2"/>
    <row r="110" ht="15" hidden="1" customHeight="1" x14ac:dyDescent="0.2"/>
    <row r="111" ht="15" hidden="1" customHeight="1" x14ac:dyDescent="0.2"/>
    <row r="112" ht="15" hidden="1" customHeight="1" x14ac:dyDescent="0.2"/>
    <row r="113" ht="15" hidden="1" customHeight="1" x14ac:dyDescent="0.2"/>
    <row r="114" ht="15" hidden="1" customHeight="1" x14ac:dyDescent="0.2"/>
    <row r="115" ht="15" hidden="1" customHeight="1" x14ac:dyDescent="0.2"/>
    <row r="116" ht="15" hidden="1" customHeight="1" x14ac:dyDescent="0.2"/>
    <row r="117" ht="15" hidden="1" customHeight="1" x14ac:dyDescent="0.2"/>
    <row r="118" ht="15" hidden="1" customHeight="1" x14ac:dyDescent="0.2"/>
    <row r="119" ht="15" hidden="1" customHeight="1" x14ac:dyDescent="0.2"/>
    <row r="120" ht="15" hidden="1" customHeight="1" x14ac:dyDescent="0.2"/>
    <row r="121" ht="15" hidden="1" customHeight="1" x14ac:dyDescent="0.2"/>
    <row r="122" ht="15" hidden="1" customHeight="1" x14ac:dyDescent="0.2"/>
    <row r="123" ht="15" hidden="1" customHeight="1" x14ac:dyDescent="0.2"/>
    <row r="124" ht="15" hidden="1" customHeight="1" x14ac:dyDescent="0.2"/>
    <row r="125" ht="15" hidden="1" customHeight="1" x14ac:dyDescent="0.2"/>
    <row r="126" ht="15" hidden="1" customHeight="1" x14ac:dyDescent="0.2"/>
    <row r="127" ht="15" hidden="1" customHeight="1" x14ac:dyDescent="0.2"/>
    <row r="128" ht="15" hidden="1" customHeight="1" x14ac:dyDescent="0.2"/>
    <row r="129" ht="15" hidden="1" customHeight="1" x14ac:dyDescent="0.2"/>
    <row r="130" ht="15" hidden="1" customHeight="1" x14ac:dyDescent="0.2"/>
    <row r="131" ht="15" hidden="1" customHeight="1" x14ac:dyDescent="0.2"/>
    <row r="132" ht="15" hidden="1" customHeight="1" x14ac:dyDescent="0.2"/>
    <row r="133" ht="15" hidden="1" customHeight="1" x14ac:dyDescent="0.2"/>
    <row r="134" ht="15" hidden="1" customHeight="1" x14ac:dyDescent="0.2"/>
    <row r="135" ht="15" hidden="1" customHeight="1" x14ac:dyDescent="0.2"/>
    <row r="136" ht="15" hidden="1" customHeight="1" x14ac:dyDescent="0.2"/>
    <row r="137" ht="15" hidden="1" customHeight="1" x14ac:dyDescent="0.2"/>
    <row r="138" ht="15" hidden="1" customHeight="1" x14ac:dyDescent="0.2"/>
    <row r="139" ht="15" hidden="1" customHeight="1" x14ac:dyDescent="0.2"/>
    <row r="140" ht="15" hidden="1" customHeight="1" x14ac:dyDescent="0.2"/>
    <row r="141" ht="15" hidden="1" customHeight="1" x14ac:dyDescent="0.2"/>
    <row r="142" ht="15" hidden="1" customHeight="1" x14ac:dyDescent="0.2"/>
    <row r="143" ht="15" hidden="1" customHeight="1" x14ac:dyDescent="0.2"/>
    <row r="144" ht="15" hidden="1" customHeight="1" x14ac:dyDescent="0.2"/>
    <row r="145" ht="15" hidden="1" customHeight="1" x14ac:dyDescent="0.2"/>
    <row r="146" ht="15" hidden="1" customHeight="1" x14ac:dyDescent="0.2"/>
    <row r="147" ht="15" hidden="1" customHeight="1" x14ac:dyDescent="0.2"/>
    <row r="148" ht="15" hidden="1" customHeight="1" x14ac:dyDescent="0.2"/>
    <row r="149" ht="15" hidden="1" customHeight="1" x14ac:dyDescent="0.2"/>
    <row r="150" ht="15" hidden="1" customHeight="1" x14ac:dyDescent="0.2"/>
    <row r="151" ht="15" hidden="1" customHeight="1" x14ac:dyDescent="0.2"/>
    <row r="152" ht="15" hidden="1" customHeight="1" x14ac:dyDescent="0.2"/>
    <row r="153" ht="15" hidden="1" customHeight="1" x14ac:dyDescent="0.2"/>
    <row r="154" ht="15" hidden="1" customHeight="1" x14ac:dyDescent="0.2"/>
    <row r="155" ht="15" hidden="1" customHeight="1" x14ac:dyDescent="0.2"/>
    <row r="156" ht="15" hidden="1" customHeight="1" x14ac:dyDescent="0.2"/>
    <row r="157" ht="15" hidden="1" customHeight="1" x14ac:dyDescent="0.2"/>
    <row r="158" ht="15" hidden="1" customHeight="1" x14ac:dyDescent="0.2"/>
    <row r="159" ht="15" hidden="1" customHeight="1" x14ac:dyDescent="0.2"/>
    <row r="160" ht="15" hidden="1" customHeight="1" x14ac:dyDescent="0.2"/>
    <row r="161" ht="15" hidden="1" customHeight="1" x14ac:dyDescent="0.2"/>
    <row r="162" ht="15" hidden="1" customHeight="1" x14ac:dyDescent="0.2"/>
    <row r="163" ht="15" hidden="1" customHeight="1" x14ac:dyDescent="0.2"/>
    <row r="164" ht="15" hidden="1" customHeight="1" x14ac:dyDescent="0.2"/>
    <row r="165" ht="15" hidden="1" customHeight="1" x14ac:dyDescent="0.2"/>
    <row r="166" ht="15" hidden="1" customHeight="1" x14ac:dyDescent="0.2"/>
    <row r="167" ht="15" hidden="1" customHeight="1" x14ac:dyDescent="0.2"/>
    <row r="168" ht="15" hidden="1" customHeight="1" x14ac:dyDescent="0.2"/>
    <row r="169" ht="15" hidden="1" customHeight="1" x14ac:dyDescent="0.2"/>
    <row r="170" ht="15" hidden="1" customHeight="1" x14ac:dyDescent="0.2"/>
    <row r="171" ht="15" hidden="1" customHeight="1" x14ac:dyDescent="0.2"/>
    <row r="172" ht="15" hidden="1" customHeight="1" x14ac:dyDescent="0.2"/>
    <row r="173" ht="15" hidden="1" customHeight="1" x14ac:dyDescent="0.2"/>
    <row r="174" ht="15" hidden="1" customHeight="1" x14ac:dyDescent="0.2"/>
    <row r="175" ht="15" hidden="1" customHeight="1" x14ac:dyDescent="0.2"/>
    <row r="176" ht="15" hidden="1" customHeight="1" x14ac:dyDescent="0.2"/>
    <row r="177" ht="15" hidden="1" customHeight="1" x14ac:dyDescent="0.2"/>
    <row r="178" ht="15" hidden="1" customHeight="1" x14ac:dyDescent="0.2"/>
    <row r="179" ht="15" hidden="1" customHeight="1" x14ac:dyDescent="0.2"/>
    <row r="180" ht="15" hidden="1" customHeight="1" x14ac:dyDescent="0.2"/>
    <row r="181" ht="15" hidden="1" customHeight="1" x14ac:dyDescent="0.2"/>
    <row r="182" ht="15" hidden="1" customHeight="1" x14ac:dyDescent="0.2"/>
    <row r="183" ht="15" hidden="1" customHeight="1" x14ac:dyDescent="0.2"/>
    <row r="184" ht="15" hidden="1" customHeight="1" x14ac:dyDescent="0.2"/>
    <row r="185" ht="15" hidden="1" customHeight="1" x14ac:dyDescent="0.2"/>
    <row r="186" ht="15" hidden="1" customHeight="1" x14ac:dyDescent="0.2"/>
    <row r="187" ht="15" hidden="1" customHeight="1" x14ac:dyDescent="0.2"/>
    <row r="188" ht="15" hidden="1" customHeight="1" x14ac:dyDescent="0.2"/>
    <row r="189" ht="15" hidden="1" customHeight="1" x14ac:dyDescent="0.2"/>
    <row r="190" ht="15" hidden="1" customHeight="1" x14ac:dyDescent="0.2"/>
    <row r="191" ht="15" hidden="1" customHeight="1" x14ac:dyDescent="0.2"/>
    <row r="192" ht="15" hidden="1" customHeight="1" x14ac:dyDescent="0.2"/>
    <row r="193" ht="15" hidden="1" customHeight="1" x14ac:dyDescent="0.2"/>
    <row r="194" ht="15" hidden="1" customHeight="1" x14ac:dyDescent="0.2"/>
    <row r="195" ht="15" hidden="1" customHeight="1" x14ac:dyDescent="0.2"/>
    <row r="196" ht="15" hidden="1" customHeight="1" x14ac:dyDescent="0.2"/>
    <row r="197" ht="15" hidden="1" customHeight="1" x14ac:dyDescent="0.2"/>
    <row r="198" ht="15" hidden="1" customHeight="1" x14ac:dyDescent="0.2"/>
    <row r="199" ht="15" hidden="1" customHeight="1" x14ac:dyDescent="0.2"/>
  </sheetData>
  <mergeCells count="55">
    <mergeCell ref="B2:L2"/>
    <mergeCell ref="M2:N2"/>
    <mergeCell ref="B3:L3"/>
    <mergeCell ref="B7:L7"/>
    <mergeCell ref="B8:D8"/>
    <mergeCell ref="E8:L8"/>
    <mergeCell ref="B9:D9"/>
    <mergeCell ref="E9:L9"/>
    <mergeCell ref="B10:D10"/>
    <mergeCell ref="E10:L10"/>
    <mergeCell ref="B11:D11"/>
    <mergeCell ref="E11:L11"/>
    <mergeCell ref="B12:D12"/>
    <mergeCell ref="E12:L12"/>
    <mergeCell ref="B14:L14"/>
    <mergeCell ref="B15:L15"/>
    <mergeCell ref="C16:L16"/>
    <mergeCell ref="C17:L17"/>
    <mergeCell ref="C18:L18"/>
    <mergeCell ref="C19:L19"/>
    <mergeCell ref="C20:L20"/>
    <mergeCell ref="C21:L21"/>
    <mergeCell ref="C22:L22"/>
    <mergeCell ref="B24:L24"/>
    <mergeCell ref="B48:K48"/>
    <mergeCell ref="B50:L50"/>
    <mergeCell ref="B51:K51"/>
    <mergeCell ref="B52:K52"/>
    <mergeCell ref="B53:K53"/>
    <mergeCell ref="B54:K54"/>
    <mergeCell ref="B55:K55"/>
    <mergeCell ref="B56:K56"/>
    <mergeCell ref="B57:K57"/>
    <mergeCell ref="B59:L59"/>
    <mergeCell ref="B60:K60"/>
    <mergeCell ref="B61:J61"/>
    <mergeCell ref="B62:J62"/>
    <mergeCell ref="B63:K63"/>
    <mergeCell ref="B64:J64"/>
    <mergeCell ref="B65:K65"/>
    <mergeCell ref="B66:J66"/>
    <mergeCell ref="B67:K67"/>
    <mergeCell ref="B69:L69"/>
    <mergeCell ref="B70:E70"/>
    <mergeCell ref="F70:H70"/>
    <mergeCell ref="I70:L70"/>
    <mergeCell ref="B71:E71"/>
    <mergeCell ref="F71:H71"/>
    <mergeCell ref="I71:L71"/>
    <mergeCell ref="B72:E72"/>
    <mergeCell ref="F72:H72"/>
    <mergeCell ref="I72:L72"/>
    <mergeCell ref="B73:E73"/>
    <mergeCell ref="F73:H73"/>
    <mergeCell ref="I73:L73"/>
  </mergeCells>
  <conditionalFormatting sqref="B73:E73">
    <cfRule type="colorScale" priority="2">
      <colorScale>
        <cfvo type="num" val="0.05"/>
        <cfvo type="num" val="0.15"/>
        <cfvo type="num" val="0.3"/>
        <color rgb="FFFF6B6B"/>
        <color rgb="FFFFD93D"/>
        <color rgb="FF6BCB77"/>
      </colorScale>
    </cfRule>
  </conditionalFormatting>
  <dataValidations count="2">
    <dataValidation type="list" allowBlank="1" sqref="D26:D47" xr:uid="{00000000-0002-0000-0500-000000000000}">
      <formula1>"Cable,Accessories,Lighting,Containment,Distribution Equipment,Sundries,Testing &amp; Cert,Data &amp; Comms"</formula1>
      <formula2>0</formula2>
    </dataValidation>
    <dataValidation type="list" allowBlank="1" sqref="C26:C47" xr:uid="{00000000-0002-0000-0500-000001000000}">
      <formula1>SectionNames</formula1>
      <formula2>0</formula2>
    </dataValidation>
  </dataValidations>
  <pageMargins left="0.3" right="0.3" top="0.4" bottom="0.4" header="0.511811023622047" footer="0.511811023622047"/>
  <pageSetup paperSize="9" fitToHeight="2" orientation="landscape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2000000}">
          <x14:formula1>
            <xm:f>OFFSET('2. Materials'!$C$16,MATCH(D26,MatCategories,0)-1,0,COUNTIF(MatCategories,D26),1)</xm:f>
          </x14:formula1>
          <x14:formula2>
            <xm:f>0</xm:f>
          </x14:formula2>
          <xm:sqref>E26:E47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B4FFF"/>
    <pageSetUpPr fitToPage="1"/>
  </sheetPr>
  <dimension ref="B2:AW199"/>
  <sheetViews>
    <sheetView showGridLines="0" zoomScale="160" zoomScaleNormal="160" workbookViewId="0">
      <pane xSplit="1" ySplit="9" topLeftCell="B20" activePane="bottomRight" state="frozen"/>
      <selection pane="topRight" activeCell="B1" sqref="B1"/>
      <selection pane="bottomLeft" activeCell="A10" sqref="A10"/>
      <selection pane="bottomRight" activeCell="B24" sqref="B24"/>
    </sheetView>
  </sheetViews>
  <sheetFormatPr baseColWidth="10" defaultColWidth="8.6640625" defaultRowHeight="15" x14ac:dyDescent="0.2"/>
  <cols>
    <col min="1" max="1" width="2" customWidth="1"/>
    <col min="2" max="2" width="6" customWidth="1"/>
    <col min="3" max="3" width="60" customWidth="1"/>
    <col min="4" max="4" width="4" customWidth="1"/>
    <col min="5" max="5" width="6" customWidth="1"/>
    <col min="6" max="6" width="14" customWidth="1"/>
    <col min="7" max="7" width="2" hidden="1" customWidth="1"/>
    <col min="8" max="49" width="13" hidden="1" customWidth="1"/>
  </cols>
  <sheetData>
    <row r="2" spans="2:6" ht="20" customHeight="1" x14ac:dyDescent="0.2">
      <c r="B2" s="103" t="s">
        <v>245</v>
      </c>
      <c r="C2" s="103"/>
      <c r="D2" s="1"/>
      <c r="E2" s="104" t="s">
        <v>37</v>
      </c>
      <c r="F2" s="104"/>
    </row>
    <row r="3" spans="2:6" ht="12.75" customHeight="1" x14ac:dyDescent="0.2">
      <c r="B3" s="105" t="s">
        <v>246</v>
      </c>
      <c r="C3" s="105"/>
      <c r="E3" s="6"/>
      <c r="F3" s="7" t="s">
        <v>39</v>
      </c>
    </row>
    <row r="4" spans="2:6" ht="12.75" customHeight="1" x14ac:dyDescent="0.2">
      <c r="B4" s="4"/>
      <c r="C4" s="5"/>
      <c r="E4" s="8"/>
      <c r="F4" s="7" t="s">
        <v>40</v>
      </c>
    </row>
    <row r="5" spans="2:6" ht="12.75" customHeight="1" x14ac:dyDescent="0.2">
      <c r="B5" s="2"/>
      <c r="E5" s="9"/>
      <c r="F5" s="7" t="s">
        <v>41</v>
      </c>
    </row>
    <row r="6" spans="2:6" ht="15" customHeight="1" x14ac:dyDescent="0.2">
      <c r="B6" s="2"/>
      <c r="F6" s="3"/>
    </row>
    <row r="7" spans="2:6" ht="15" customHeight="1" x14ac:dyDescent="0.2">
      <c r="B7" s="144" t="s">
        <v>247</v>
      </c>
      <c r="C7" s="144"/>
      <c r="F7" s="3"/>
    </row>
    <row r="8" spans="2:6" ht="15" customHeight="1" x14ac:dyDescent="0.2">
      <c r="B8" s="2"/>
      <c r="F8" s="3"/>
    </row>
    <row r="9" spans="2:6" ht="21.75" customHeight="1" x14ac:dyDescent="0.2">
      <c r="B9" s="106" t="s">
        <v>248</v>
      </c>
      <c r="C9" s="106"/>
      <c r="F9" s="3"/>
    </row>
    <row r="10" spans="2:6" ht="19.5" customHeight="1" x14ac:dyDescent="0.2">
      <c r="B10" s="62"/>
      <c r="C10" s="26" t="s">
        <v>249</v>
      </c>
      <c r="F10" s="3"/>
    </row>
    <row r="11" spans="2:6" ht="19.5" customHeight="1" x14ac:dyDescent="0.2">
      <c r="B11" s="62"/>
      <c r="C11" s="26" t="s">
        <v>250</v>
      </c>
      <c r="F11" s="3"/>
    </row>
    <row r="12" spans="2:6" ht="19.5" customHeight="1" x14ac:dyDescent="0.2">
      <c r="B12" s="62"/>
      <c r="C12" s="26" t="s">
        <v>251</v>
      </c>
      <c r="F12" s="3"/>
    </row>
    <row r="13" spans="2:6" ht="19.5" customHeight="1" x14ac:dyDescent="0.2">
      <c r="B13" s="62"/>
      <c r="C13" s="26" t="s">
        <v>252</v>
      </c>
      <c r="F13" s="3"/>
    </row>
    <row r="14" spans="2:6" ht="19.5" customHeight="1" x14ac:dyDescent="0.2">
      <c r="B14" s="62"/>
      <c r="C14" s="26" t="s">
        <v>253</v>
      </c>
      <c r="F14" s="3"/>
    </row>
    <row r="15" spans="2:6" ht="19.5" customHeight="1" x14ac:dyDescent="0.2">
      <c r="B15" s="62"/>
      <c r="C15" s="26" t="s">
        <v>254</v>
      </c>
      <c r="F15" s="3"/>
    </row>
    <row r="16" spans="2:6" ht="19.5" customHeight="1" x14ac:dyDescent="0.2">
      <c r="B16" s="62"/>
      <c r="C16" s="26" t="s">
        <v>255</v>
      </c>
      <c r="F16" s="3"/>
    </row>
    <row r="17" spans="2:6" ht="19.5" customHeight="1" x14ac:dyDescent="0.2">
      <c r="B17" s="62"/>
      <c r="C17" s="26" t="s">
        <v>256</v>
      </c>
      <c r="F17" s="3"/>
    </row>
    <row r="18" spans="2:6" ht="19.5" customHeight="1" x14ac:dyDescent="0.2">
      <c r="B18" s="62"/>
      <c r="C18" s="26" t="s">
        <v>257</v>
      </c>
      <c r="F18" s="3"/>
    </row>
    <row r="19" spans="2:6" ht="19.5" customHeight="1" x14ac:dyDescent="0.2">
      <c r="B19" s="62"/>
      <c r="C19" s="26" t="s">
        <v>258</v>
      </c>
      <c r="F19" s="3"/>
    </row>
    <row r="20" spans="2:6" ht="19.5" customHeight="1" x14ac:dyDescent="0.2">
      <c r="B20" s="62" t="s">
        <v>337</v>
      </c>
      <c r="C20" s="26" t="s">
        <v>259</v>
      </c>
      <c r="F20" s="3"/>
    </row>
    <row r="21" spans="2:6" ht="19.5" customHeight="1" x14ac:dyDescent="0.2">
      <c r="B21" s="62" t="s">
        <v>337</v>
      </c>
      <c r="C21" s="26" t="s">
        <v>260</v>
      </c>
      <c r="F21" s="3"/>
    </row>
    <row r="22" spans="2:6" ht="19.5" customHeight="1" x14ac:dyDescent="0.2">
      <c r="B22" s="62" t="s">
        <v>337</v>
      </c>
      <c r="C22" s="26" t="s">
        <v>261</v>
      </c>
      <c r="F22" s="3"/>
    </row>
    <row r="23" spans="2:6" ht="19.5" customHeight="1" x14ac:dyDescent="0.2">
      <c r="B23" s="62" t="s">
        <v>337</v>
      </c>
      <c r="C23" s="26" t="s">
        <v>262</v>
      </c>
      <c r="F23" s="3"/>
    </row>
    <row r="24" spans="2:6" ht="19.5" customHeight="1" x14ac:dyDescent="0.2">
      <c r="B24" s="62" t="s">
        <v>337</v>
      </c>
      <c r="C24" s="26" t="s">
        <v>263</v>
      </c>
      <c r="F24" s="3"/>
    </row>
    <row r="25" spans="2:6" ht="19.5" customHeight="1" x14ac:dyDescent="0.2">
      <c r="B25" s="62" t="s">
        <v>337</v>
      </c>
      <c r="C25" s="26" t="s">
        <v>264</v>
      </c>
      <c r="F25" s="3"/>
    </row>
    <row r="26" spans="2:6" ht="19.5" customHeight="1" x14ac:dyDescent="0.2">
      <c r="B26" s="62" t="s">
        <v>337</v>
      </c>
      <c r="C26" s="26" t="s">
        <v>265</v>
      </c>
      <c r="F26" s="3"/>
    </row>
    <row r="27" spans="2:6" ht="19.5" customHeight="1" x14ac:dyDescent="0.2">
      <c r="B27" s="62"/>
      <c r="C27" s="26" t="s">
        <v>266</v>
      </c>
      <c r="F27" s="3"/>
    </row>
    <row r="28" spans="2:6" ht="19.5" customHeight="1" x14ac:dyDescent="0.2">
      <c r="B28" s="62"/>
      <c r="C28" s="26" t="s">
        <v>267</v>
      </c>
      <c r="F28" s="3"/>
    </row>
    <row r="29" spans="2:6" ht="19.5" customHeight="1" x14ac:dyDescent="0.2">
      <c r="B29" s="62"/>
      <c r="C29" s="26" t="s">
        <v>268</v>
      </c>
      <c r="F29" s="3"/>
    </row>
    <row r="30" spans="2:6" ht="19.5" customHeight="1" x14ac:dyDescent="0.2">
      <c r="B30" s="62"/>
      <c r="C30" s="26" t="s">
        <v>269</v>
      </c>
      <c r="F30" s="3"/>
    </row>
    <row r="31" spans="2:6" ht="19.5" customHeight="1" x14ac:dyDescent="0.2">
      <c r="B31" s="62"/>
      <c r="C31" s="26" t="s">
        <v>270</v>
      </c>
      <c r="F31" s="3"/>
    </row>
    <row r="32" spans="2:6" ht="19.5" customHeight="1" x14ac:dyDescent="0.2">
      <c r="B32" s="62"/>
      <c r="C32" s="26" t="s">
        <v>271</v>
      </c>
      <c r="F32" s="3"/>
    </row>
    <row r="33" spans="2:6" ht="19.5" customHeight="1" x14ac:dyDescent="0.2">
      <c r="B33" s="62"/>
      <c r="C33" s="26" t="s">
        <v>272</v>
      </c>
      <c r="F33" s="3"/>
    </row>
    <row r="34" spans="2:6" ht="19.5" customHeight="1" x14ac:dyDescent="0.2">
      <c r="B34" s="62"/>
      <c r="C34" s="26" t="s">
        <v>273</v>
      </c>
      <c r="F34" s="3"/>
    </row>
    <row r="35" spans="2:6" ht="19.5" customHeight="1" x14ac:dyDescent="0.2">
      <c r="B35" s="62"/>
      <c r="C35" s="26" t="s">
        <v>274</v>
      </c>
      <c r="F35" s="3"/>
    </row>
    <row r="36" spans="2:6" ht="19.5" customHeight="1" x14ac:dyDescent="0.2">
      <c r="B36" s="62"/>
      <c r="C36" s="26" t="s">
        <v>275</v>
      </c>
      <c r="F36" s="3"/>
    </row>
    <row r="37" spans="2:6" ht="19.5" customHeight="1" x14ac:dyDescent="0.2">
      <c r="B37" s="62"/>
      <c r="C37" s="26" t="s">
        <v>276</v>
      </c>
      <c r="F37" s="3"/>
    </row>
    <row r="38" spans="2:6" ht="19.5" customHeight="1" x14ac:dyDescent="0.2">
      <c r="B38" s="62"/>
      <c r="C38" s="26" t="s">
        <v>277</v>
      </c>
      <c r="F38" s="3"/>
    </row>
    <row r="39" spans="2:6" ht="15" customHeight="1" x14ac:dyDescent="0.2">
      <c r="B39" s="2"/>
      <c r="F39" s="3"/>
    </row>
    <row r="40" spans="2:6" ht="21.75" customHeight="1" x14ac:dyDescent="0.2">
      <c r="B40" s="106" t="s">
        <v>278</v>
      </c>
      <c r="C40" s="106"/>
      <c r="F40" s="3"/>
    </row>
    <row r="41" spans="2:6" ht="19.5" customHeight="1" x14ac:dyDescent="0.2">
      <c r="B41" s="63"/>
      <c r="C41" s="51"/>
      <c r="F41" s="3"/>
    </row>
    <row r="42" spans="2:6" ht="19.5" customHeight="1" x14ac:dyDescent="0.2">
      <c r="B42" s="63"/>
      <c r="C42" s="51"/>
      <c r="F42" s="3"/>
    </row>
    <row r="43" spans="2:6" ht="19.5" customHeight="1" x14ac:dyDescent="0.2">
      <c r="B43" s="63"/>
      <c r="C43" s="51"/>
      <c r="F43" s="3"/>
    </row>
    <row r="44" spans="2:6" ht="19.5" customHeight="1" x14ac:dyDescent="0.2">
      <c r="B44" s="63"/>
      <c r="C44" s="51"/>
      <c r="F44" s="3"/>
    </row>
    <row r="45" spans="2:6" ht="19.5" customHeight="1" x14ac:dyDescent="0.2">
      <c r="B45" s="63"/>
      <c r="C45" s="51"/>
      <c r="F45" s="3"/>
    </row>
    <row r="46" spans="2:6" ht="19.5" customHeight="1" x14ac:dyDescent="0.2">
      <c r="B46" s="63"/>
      <c r="C46" s="51"/>
      <c r="F46" s="3"/>
    </row>
    <row r="47" spans="2:6" ht="19.5" customHeight="1" x14ac:dyDescent="0.2">
      <c r="B47" s="63"/>
      <c r="C47" s="51"/>
      <c r="F47" s="3"/>
    </row>
    <row r="48" spans="2:6" ht="19.5" customHeight="1" x14ac:dyDescent="0.2">
      <c r="B48" s="63"/>
      <c r="C48" s="51"/>
      <c r="F48" s="3"/>
    </row>
    <row r="49" spans="2:6" ht="15" customHeight="1" x14ac:dyDescent="0.2">
      <c r="B49" s="37"/>
      <c r="C49" s="17"/>
      <c r="D49" s="17"/>
      <c r="E49" s="17"/>
      <c r="F49" s="18"/>
    </row>
    <row r="50" spans="2:6" ht="15" hidden="1" customHeight="1" x14ac:dyDescent="0.2"/>
    <row r="51" spans="2:6" ht="15" hidden="1" customHeight="1" x14ac:dyDescent="0.2"/>
    <row r="52" spans="2:6" ht="15" hidden="1" customHeight="1" x14ac:dyDescent="0.2"/>
    <row r="53" spans="2:6" ht="15" hidden="1" customHeight="1" x14ac:dyDescent="0.2"/>
    <row r="54" spans="2:6" ht="15" hidden="1" customHeight="1" x14ac:dyDescent="0.2"/>
    <row r="55" spans="2:6" ht="15" hidden="1" customHeight="1" x14ac:dyDescent="0.2"/>
    <row r="56" spans="2:6" ht="15" hidden="1" customHeight="1" x14ac:dyDescent="0.2"/>
    <row r="57" spans="2:6" ht="15" hidden="1" customHeight="1" x14ac:dyDescent="0.2"/>
    <row r="58" spans="2:6" ht="15" hidden="1" customHeight="1" x14ac:dyDescent="0.2"/>
    <row r="59" spans="2:6" ht="15" hidden="1" customHeight="1" x14ac:dyDescent="0.2"/>
    <row r="60" spans="2:6" ht="15" hidden="1" customHeight="1" x14ac:dyDescent="0.2"/>
    <row r="61" spans="2:6" ht="15" hidden="1" customHeight="1" x14ac:dyDescent="0.2"/>
    <row r="62" spans="2:6" ht="15" hidden="1" customHeight="1" x14ac:dyDescent="0.2"/>
    <row r="63" spans="2:6" ht="15" hidden="1" customHeight="1" x14ac:dyDescent="0.2"/>
    <row r="64" spans="2:6" ht="15" hidden="1" customHeight="1" x14ac:dyDescent="0.2"/>
    <row r="65" ht="15" hidden="1" customHeight="1" x14ac:dyDescent="0.2"/>
    <row r="66" ht="15" hidden="1" customHeight="1" x14ac:dyDescent="0.2"/>
    <row r="67" ht="15" hidden="1" customHeight="1" x14ac:dyDescent="0.2"/>
    <row r="68" ht="15" hidden="1" customHeight="1" x14ac:dyDescent="0.2"/>
    <row r="69" ht="15" hidden="1" customHeight="1" x14ac:dyDescent="0.2"/>
    <row r="70" ht="15" hidden="1" customHeight="1" x14ac:dyDescent="0.2"/>
    <row r="71" ht="15" hidden="1" customHeight="1" x14ac:dyDescent="0.2"/>
    <row r="72" ht="15" hidden="1" customHeight="1" x14ac:dyDescent="0.2"/>
    <row r="73" ht="15" hidden="1" customHeight="1" x14ac:dyDescent="0.2"/>
    <row r="74" ht="15" hidden="1" customHeight="1" x14ac:dyDescent="0.2"/>
    <row r="75" ht="15" hidden="1" customHeight="1" x14ac:dyDescent="0.2"/>
    <row r="76" ht="15" hidden="1" customHeight="1" x14ac:dyDescent="0.2"/>
    <row r="77" ht="15" hidden="1" customHeight="1" x14ac:dyDescent="0.2"/>
    <row r="78" ht="15" hidden="1" customHeight="1" x14ac:dyDescent="0.2"/>
    <row r="79" ht="15" hidden="1" customHeight="1" x14ac:dyDescent="0.2"/>
    <row r="80" ht="15" hidden="1" customHeight="1" x14ac:dyDescent="0.2"/>
    <row r="81" ht="15" hidden="1" customHeight="1" x14ac:dyDescent="0.2"/>
    <row r="82" ht="15" hidden="1" customHeight="1" x14ac:dyDescent="0.2"/>
    <row r="83" ht="15" hidden="1" customHeight="1" x14ac:dyDescent="0.2"/>
    <row r="84" ht="15" hidden="1" customHeight="1" x14ac:dyDescent="0.2"/>
    <row r="85" ht="15" hidden="1" customHeight="1" x14ac:dyDescent="0.2"/>
    <row r="86" ht="15" hidden="1" customHeight="1" x14ac:dyDescent="0.2"/>
    <row r="87" ht="15" hidden="1" customHeight="1" x14ac:dyDescent="0.2"/>
    <row r="88" ht="15" hidden="1" customHeight="1" x14ac:dyDescent="0.2"/>
    <row r="89" ht="15" hidden="1" customHeight="1" x14ac:dyDescent="0.2"/>
    <row r="90" ht="15" hidden="1" customHeight="1" x14ac:dyDescent="0.2"/>
    <row r="91" ht="15" hidden="1" customHeight="1" x14ac:dyDescent="0.2"/>
    <row r="92" ht="15" hidden="1" customHeight="1" x14ac:dyDescent="0.2"/>
    <row r="93" ht="15" hidden="1" customHeight="1" x14ac:dyDescent="0.2"/>
    <row r="94" ht="15" hidden="1" customHeight="1" x14ac:dyDescent="0.2"/>
    <row r="95" ht="15" hidden="1" customHeight="1" x14ac:dyDescent="0.2"/>
    <row r="96" ht="15" hidden="1" customHeight="1" x14ac:dyDescent="0.2"/>
    <row r="97" ht="15" hidden="1" customHeight="1" x14ac:dyDescent="0.2"/>
    <row r="98" ht="15" hidden="1" customHeight="1" x14ac:dyDescent="0.2"/>
    <row r="99" ht="15" hidden="1" customHeight="1" x14ac:dyDescent="0.2"/>
    <row r="100" ht="15" hidden="1" customHeight="1" x14ac:dyDescent="0.2"/>
    <row r="101" ht="15" hidden="1" customHeight="1" x14ac:dyDescent="0.2"/>
    <row r="102" ht="15" hidden="1" customHeight="1" x14ac:dyDescent="0.2"/>
    <row r="103" ht="15" hidden="1" customHeight="1" x14ac:dyDescent="0.2"/>
    <row r="104" ht="15" hidden="1" customHeight="1" x14ac:dyDescent="0.2"/>
    <row r="105" ht="15" hidden="1" customHeight="1" x14ac:dyDescent="0.2"/>
    <row r="106" ht="15" hidden="1" customHeight="1" x14ac:dyDescent="0.2"/>
    <row r="107" ht="15" hidden="1" customHeight="1" x14ac:dyDescent="0.2"/>
    <row r="108" ht="15" hidden="1" customHeight="1" x14ac:dyDescent="0.2"/>
    <row r="109" ht="15" hidden="1" customHeight="1" x14ac:dyDescent="0.2"/>
    <row r="110" ht="15" hidden="1" customHeight="1" x14ac:dyDescent="0.2"/>
    <row r="111" ht="15" hidden="1" customHeight="1" x14ac:dyDescent="0.2"/>
    <row r="112" ht="15" hidden="1" customHeight="1" x14ac:dyDescent="0.2"/>
    <row r="113" ht="15" hidden="1" customHeight="1" x14ac:dyDescent="0.2"/>
    <row r="114" ht="15" hidden="1" customHeight="1" x14ac:dyDescent="0.2"/>
    <row r="115" ht="15" hidden="1" customHeight="1" x14ac:dyDescent="0.2"/>
    <row r="116" ht="15" hidden="1" customHeight="1" x14ac:dyDescent="0.2"/>
    <row r="117" ht="15" hidden="1" customHeight="1" x14ac:dyDescent="0.2"/>
    <row r="118" ht="15" hidden="1" customHeight="1" x14ac:dyDescent="0.2"/>
    <row r="119" ht="15" hidden="1" customHeight="1" x14ac:dyDescent="0.2"/>
    <row r="120" ht="15" hidden="1" customHeight="1" x14ac:dyDescent="0.2"/>
    <row r="121" ht="15" hidden="1" customHeight="1" x14ac:dyDescent="0.2"/>
    <row r="122" ht="15" hidden="1" customHeight="1" x14ac:dyDescent="0.2"/>
    <row r="123" ht="15" hidden="1" customHeight="1" x14ac:dyDescent="0.2"/>
    <row r="124" ht="15" hidden="1" customHeight="1" x14ac:dyDescent="0.2"/>
    <row r="125" ht="15" hidden="1" customHeight="1" x14ac:dyDescent="0.2"/>
    <row r="126" ht="15" hidden="1" customHeight="1" x14ac:dyDescent="0.2"/>
    <row r="127" ht="15" hidden="1" customHeight="1" x14ac:dyDescent="0.2"/>
    <row r="128" ht="15" hidden="1" customHeight="1" x14ac:dyDescent="0.2"/>
    <row r="129" ht="15" hidden="1" customHeight="1" x14ac:dyDescent="0.2"/>
    <row r="130" ht="15" hidden="1" customHeight="1" x14ac:dyDescent="0.2"/>
    <row r="131" ht="15" hidden="1" customHeight="1" x14ac:dyDescent="0.2"/>
    <row r="132" ht="15" hidden="1" customHeight="1" x14ac:dyDescent="0.2"/>
    <row r="133" ht="15" hidden="1" customHeight="1" x14ac:dyDescent="0.2"/>
    <row r="134" ht="15" hidden="1" customHeight="1" x14ac:dyDescent="0.2"/>
    <row r="135" ht="15" hidden="1" customHeight="1" x14ac:dyDescent="0.2"/>
    <row r="136" ht="15" hidden="1" customHeight="1" x14ac:dyDescent="0.2"/>
    <row r="137" ht="15" hidden="1" customHeight="1" x14ac:dyDescent="0.2"/>
    <row r="138" ht="15" hidden="1" customHeight="1" x14ac:dyDescent="0.2"/>
    <row r="139" ht="15" hidden="1" customHeight="1" x14ac:dyDescent="0.2"/>
    <row r="140" ht="15" hidden="1" customHeight="1" x14ac:dyDescent="0.2"/>
    <row r="141" ht="15" hidden="1" customHeight="1" x14ac:dyDescent="0.2"/>
    <row r="142" ht="15" hidden="1" customHeight="1" x14ac:dyDescent="0.2"/>
    <row r="143" ht="15" hidden="1" customHeight="1" x14ac:dyDescent="0.2"/>
    <row r="144" ht="15" hidden="1" customHeight="1" x14ac:dyDescent="0.2"/>
    <row r="145" ht="15" hidden="1" customHeight="1" x14ac:dyDescent="0.2"/>
    <row r="146" ht="15" hidden="1" customHeight="1" x14ac:dyDescent="0.2"/>
    <row r="147" ht="15" hidden="1" customHeight="1" x14ac:dyDescent="0.2"/>
    <row r="148" ht="15" hidden="1" customHeight="1" x14ac:dyDescent="0.2"/>
    <row r="149" ht="15" hidden="1" customHeight="1" x14ac:dyDescent="0.2"/>
    <row r="150" ht="15" hidden="1" customHeight="1" x14ac:dyDescent="0.2"/>
    <row r="151" ht="15" hidden="1" customHeight="1" x14ac:dyDescent="0.2"/>
    <row r="152" ht="15" hidden="1" customHeight="1" x14ac:dyDescent="0.2"/>
    <row r="153" ht="15" hidden="1" customHeight="1" x14ac:dyDescent="0.2"/>
    <row r="154" ht="15" hidden="1" customHeight="1" x14ac:dyDescent="0.2"/>
    <row r="155" ht="15" hidden="1" customHeight="1" x14ac:dyDescent="0.2"/>
    <row r="156" ht="15" hidden="1" customHeight="1" x14ac:dyDescent="0.2"/>
    <row r="157" ht="15" hidden="1" customHeight="1" x14ac:dyDescent="0.2"/>
    <row r="158" ht="15" hidden="1" customHeight="1" x14ac:dyDescent="0.2"/>
    <row r="159" ht="15" hidden="1" customHeight="1" x14ac:dyDescent="0.2"/>
    <row r="160" ht="15" hidden="1" customHeight="1" x14ac:dyDescent="0.2"/>
    <row r="161" ht="15" hidden="1" customHeight="1" x14ac:dyDescent="0.2"/>
    <row r="162" ht="15" hidden="1" customHeight="1" x14ac:dyDescent="0.2"/>
    <row r="163" ht="15" hidden="1" customHeight="1" x14ac:dyDescent="0.2"/>
    <row r="164" ht="15" hidden="1" customHeight="1" x14ac:dyDescent="0.2"/>
    <row r="165" ht="15" hidden="1" customHeight="1" x14ac:dyDescent="0.2"/>
    <row r="166" ht="15" hidden="1" customHeight="1" x14ac:dyDescent="0.2"/>
    <row r="167" ht="15" hidden="1" customHeight="1" x14ac:dyDescent="0.2"/>
    <row r="168" ht="15" hidden="1" customHeight="1" x14ac:dyDescent="0.2"/>
    <row r="169" ht="15" hidden="1" customHeight="1" x14ac:dyDescent="0.2"/>
    <row r="170" ht="15" hidden="1" customHeight="1" x14ac:dyDescent="0.2"/>
    <row r="171" ht="15" hidden="1" customHeight="1" x14ac:dyDescent="0.2"/>
    <row r="172" ht="15" hidden="1" customHeight="1" x14ac:dyDescent="0.2"/>
    <row r="173" ht="15" hidden="1" customHeight="1" x14ac:dyDescent="0.2"/>
    <row r="174" ht="15" hidden="1" customHeight="1" x14ac:dyDescent="0.2"/>
    <row r="175" ht="15" hidden="1" customHeight="1" x14ac:dyDescent="0.2"/>
    <row r="176" ht="15" hidden="1" customHeight="1" x14ac:dyDescent="0.2"/>
    <row r="177" ht="15" hidden="1" customHeight="1" x14ac:dyDescent="0.2"/>
    <row r="178" ht="15" hidden="1" customHeight="1" x14ac:dyDescent="0.2"/>
    <row r="179" ht="15" hidden="1" customHeight="1" x14ac:dyDescent="0.2"/>
    <row r="180" ht="15" hidden="1" customHeight="1" x14ac:dyDescent="0.2"/>
    <row r="181" ht="15" hidden="1" customHeight="1" x14ac:dyDescent="0.2"/>
    <row r="182" ht="15" hidden="1" customHeight="1" x14ac:dyDescent="0.2"/>
    <row r="183" ht="15" hidden="1" customHeight="1" x14ac:dyDescent="0.2"/>
    <row r="184" ht="15" hidden="1" customHeight="1" x14ac:dyDescent="0.2"/>
    <row r="185" ht="15" hidden="1" customHeight="1" x14ac:dyDescent="0.2"/>
    <row r="186" ht="15" hidden="1" customHeight="1" x14ac:dyDescent="0.2"/>
    <row r="187" ht="15" hidden="1" customHeight="1" x14ac:dyDescent="0.2"/>
    <row r="188" ht="15" hidden="1" customHeight="1" x14ac:dyDescent="0.2"/>
    <row r="189" ht="15" hidden="1" customHeight="1" x14ac:dyDescent="0.2"/>
    <row r="190" ht="15" hidden="1" customHeight="1" x14ac:dyDescent="0.2"/>
    <row r="191" ht="15" hidden="1" customHeight="1" x14ac:dyDescent="0.2"/>
    <row r="192" ht="15" hidden="1" customHeight="1" x14ac:dyDescent="0.2"/>
    <row r="193" ht="15" hidden="1" customHeight="1" x14ac:dyDescent="0.2"/>
    <row r="194" ht="15" hidden="1" customHeight="1" x14ac:dyDescent="0.2"/>
    <row r="195" ht="15" hidden="1" customHeight="1" x14ac:dyDescent="0.2"/>
    <row r="196" ht="15" hidden="1" customHeight="1" x14ac:dyDescent="0.2"/>
    <row r="197" ht="15" hidden="1" customHeight="1" x14ac:dyDescent="0.2"/>
    <row r="198" ht="15" hidden="1" customHeight="1" x14ac:dyDescent="0.2"/>
    <row r="199" ht="15" hidden="1" customHeight="1" x14ac:dyDescent="0.2"/>
  </sheetData>
  <mergeCells count="6">
    <mergeCell ref="B40:C40"/>
    <mergeCell ref="B2:C2"/>
    <mergeCell ref="E2:F2"/>
    <mergeCell ref="B3:C3"/>
    <mergeCell ref="B7:C7"/>
    <mergeCell ref="B9:C9"/>
  </mergeCells>
  <dataValidations count="1">
    <dataValidation type="list" allowBlank="1" showInputMessage="1" promptTitle="Tick to exclude" prompt="Type Y to include on the client quote" sqref="B10:B48" xr:uid="{00000000-0002-0000-0600-000000000000}">
      <formula1>"Y,N"</formula1>
      <formula2>0</formula2>
    </dataValidation>
  </dataValidations>
  <pageMargins left="0.3" right="0.3" top="0.4" bottom="0.4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B4FFF"/>
    <pageSetUpPr fitToPage="1"/>
  </sheetPr>
  <dimension ref="B2:AW199"/>
  <sheetViews>
    <sheetView showGridLines="0" zoomScale="110" zoomScaleNormal="110" workbookViewId="0">
      <selection activeCell="B3" sqref="B3:C3"/>
    </sheetView>
  </sheetViews>
  <sheetFormatPr baseColWidth="10" defaultColWidth="8.6640625" defaultRowHeight="15" x14ac:dyDescent="0.2"/>
  <cols>
    <col min="1" max="1" width="2" customWidth="1"/>
    <col min="2" max="2" width="6" customWidth="1"/>
    <col min="3" max="3" width="56" customWidth="1"/>
    <col min="4" max="4" width="4" customWidth="1"/>
    <col min="5" max="5" width="6" customWidth="1"/>
    <col min="6" max="6" width="14" customWidth="1"/>
    <col min="7" max="7" width="2" hidden="1" customWidth="1"/>
    <col min="8" max="49" width="13" hidden="1" customWidth="1"/>
  </cols>
  <sheetData>
    <row r="2" spans="2:6" ht="21" customHeight="1" x14ac:dyDescent="0.2">
      <c r="B2" s="103" t="s">
        <v>336</v>
      </c>
      <c r="C2" s="103"/>
      <c r="D2" s="1"/>
      <c r="E2" s="104" t="s">
        <v>37</v>
      </c>
      <c r="F2" s="104"/>
    </row>
    <row r="3" spans="2:6" ht="12.75" customHeight="1" x14ac:dyDescent="0.2">
      <c r="B3" s="105" t="s">
        <v>317</v>
      </c>
      <c r="C3" s="105"/>
      <c r="E3" s="6"/>
      <c r="F3" s="7" t="s">
        <v>39</v>
      </c>
    </row>
    <row r="4" spans="2:6" ht="12.75" customHeight="1" x14ac:dyDescent="0.2">
      <c r="B4" s="4"/>
      <c r="C4" s="5"/>
      <c r="E4" s="8"/>
      <c r="F4" s="7" t="s">
        <v>40</v>
      </c>
    </row>
    <row r="5" spans="2:6" ht="12.75" customHeight="1" x14ac:dyDescent="0.2">
      <c r="B5" s="2"/>
      <c r="E5" s="9"/>
      <c r="F5" s="7" t="s">
        <v>41</v>
      </c>
    </row>
    <row r="6" spans="2:6" ht="15" customHeight="1" x14ac:dyDescent="0.2">
      <c r="B6" s="2"/>
      <c r="F6" s="3"/>
    </row>
    <row r="7" spans="2:6" ht="21.75" customHeight="1" x14ac:dyDescent="0.2">
      <c r="B7" s="106" t="s">
        <v>318</v>
      </c>
      <c r="C7" s="106"/>
      <c r="F7" s="3"/>
    </row>
    <row r="8" spans="2:6" ht="24" customHeight="1" x14ac:dyDescent="0.2">
      <c r="B8" s="73" t="s">
        <v>319</v>
      </c>
      <c r="C8" s="74" t="s">
        <v>320</v>
      </c>
      <c r="F8" s="3"/>
    </row>
    <row r="9" spans="2:6" ht="24" customHeight="1" x14ac:dyDescent="0.2">
      <c r="B9" s="73" t="s">
        <v>319</v>
      </c>
      <c r="C9" s="74" t="s">
        <v>321</v>
      </c>
      <c r="F9" s="3"/>
    </row>
    <row r="10" spans="2:6" ht="24" customHeight="1" x14ac:dyDescent="0.2">
      <c r="B10" s="73" t="s">
        <v>319</v>
      </c>
      <c r="C10" s="74" t="s">
        <v>322</v>
      </c>
      <c r="F10" s="3"/>
    </row>
    <row r="11" spans="2:6" ht="24" customHeight="1" x14ac:dyDescent="0.2">
      <c r="B11" s="73" t="s">
        <v>319</v>
      </c>
      <c r="C11" s="74" t="s">
        <v>323</v>
      </c>
      <c r="F11" s="3"/>
    </row>
    <row r="12" spans="2:6" ht="24" customHeight="1" x14ac:dyDescent="0.2">
      <c r="B12" s="73" t="s">
        <v>319</v>
      </c>
      <c r="C12" s="74" t="s">
        <v>324</v>
      </c>
      <c r="F12" s="3"/>
    </row>
    <row r="13" spans="2:6" ht="24" customHeight="1" x14ac:dyDescent="0.2">
      <c r="B13" s="73" t="s">
        <v>319</v>
      </c>
      <c r="C13" s="74" t="s">
        <v>325</v>
      </c>
      <c r="F13" s="3"/>
    </row>
    <row r="14" spans="2:6" ht="24" customHeight="1" x14ac:dyDescent="0.2">
      <c r="B14" s="73" t="s">
        <v>319</v>
      </c>
      <c r="C14" s="74" t="s">
        <v>326</v>
      </c>
      <c r="F14" s="3"/>
    </row>
    <row r="15" spans="2:6" ht="24" customHeight="1" x14ac:dyDescent="0.2">
      <c r="B15" s="73" t="s">
        <v>319</v>
      </c>
      <c r="C15" s="74" t="s">
        <v>327</v>
      </c>
      <c r="F15" s="3"/>
    </row>
    <row r="16" spans="2:6" ht="24" customHeight="1" x14ac:dyDescent="0.2">
      <c r="B16" s="73" t="s">
        <v>319</v>
      </c>
      <c r="C16" s="74" t="s">
        <v>328</v>
      </c>
      <c r="F16" s="3"/>
    </row>
    <row r="17" spans="2:6" ht="24" customHeight="1" x14ac:dyDescent="0.2">
      <c r="B17" s="73" t="s">
        <v>319</v>
      </c>
      <c r="C17" s="74" t="s">
        <v>329</v>
      </c>
      <c r="F17" s="3"/>
    </row>
    <row r="18" spans="2:6" ht="24" customHeight="1" x14ac:dyDescent="0.2">
      <c r="B18" s="73" t="s">
        <v>319</v>
      </c>
      <c r="C18" s="74" t="s">
        <v>330</v>
      </c>
      <c r="F18" s="3"/>
    </row>
    <row r="19" spans="2:6" ht="24" customHeight="1" x14ac:dyDescent="0.2">
      <c r="B19" s="73" t="s">
        <v>319</v>
      </c>
      <c r="C19" s="74" t="s">
        <v>331</v>
      </c>
      <c r="F19" s="3"/>
    </row>
    <row r="20" spans="2:6" ht="24" customHeight="1" x14ac:dyDescent="0.2">
      <c r="B20" s="73" t="s">
        <v>319</v>
      </c>
      <c r="C20" s="74" t="s">
        <v>332</v>
      </c>
      <c r="F20" s="3"/>
    </row>
    <row r="21" spans="2:6" ht="24" customHeight="1" x14ac:dyDescent="0.2">
      <c r="B21" s="73" t="s">
        <v>319</v>
      </c>
      <c r="C21" s="74" t="s">
        <v>333</v>
      </c>
      <c r="F21" s="3"/>
    </row>
    <row r="22" spans="2:6" ht="24" customHeight="1" x14ac:dyDescent="0.2">
      <c r="B22" s="73" t="s">
        <v>319</v>
      </c>
      <c r="C22" s="74" t="s">
        <v>334</v>
      </c>
      <c r="F22" s="3"/>
    </row>
    <row r="23" spans="2:6" ht="15" customHeight="1" x14ac:dyDescent="0.2">
      <c r="B23" s="2"/>
      <c r="F23" s="3"/>
    </row>
    <row r="24" spans="2:6" ht="23.25" customHeight="1" x14ac:dyDescent="0.2">
      <c r="B24" s="145" t="s">
        <v>335</v>
      </c>
      <c r="C24" s="145"/>
      <c r="D24" s="17"/>
      <c r="E24" s="17"/>
      <c r="F24" s="18"/>
    </row>
    <row r="25" spans="2:6" ht="15" hidden="1" customHeight="1" x14ac:dyDescent="0.2"/>
    <row r="26" spans="2:6" ht="15" hidden="1" customHeight="1" x14ac:dyDescent="0.2"/>
    <row r="27" spans="2:6" ht="15" hidden="1" customHeight="1" x14ac:dyDescent="0.2"/>
    <row r="28" spans="2:6" ht="15" hidden="1" customHeight="1" x14ac:dyDescent="0.2"/>
    <row r="29" spans="2:6" ht="15" hidden="1" customHeight="1" x14ac:dyDescent="0.2"/>
    <row r="30" spans="2:6" ht="15" hidden="1" customHeight="1" x14ac:dyDescent="0.2"/>
    <row r="31" spans="2:6" ht="15" hidden="1" customHeight="1" x14ac:dyDescent="0.2"/>
    <row r="32" spans="2:6" ht="15" hidden="1" customHeight="1" x14ac:dyDescent="0.2"/>
    <row r="33" ht="15" hidden="1" customHeight="1" x14ac:dyDescent="0.2"/>
    <row r="34" ht="15" hidden="1" customHeight="1" x14ac:dyDescent="0.2"/>
    <row r="35" ht="15" hidden="1" customHeight="1" x14ac:dyDescent="0.2"/>
    <row r="36" ht="15" hidden="1" customHeight="1" x14ac:dyDescent="0.2"/>
    <row r="37" ht="15" hidden="1" customHeight="1" x14ac:dyDescent="0.2"/>
    <row r="38" ht="15" hidden="1" customHeight="1" x14ac:dyDescent="0.2"/>
    <row r="39" ht="15" hidden="1" customHeight="1" x14ac:dyDescent="0.2"/>
    <row r="40" ht="15" hidden="1" customHeight="1" x14ac:dyDescent="0.2"/>
    <row r="41" ht="15" hidden="1" customHeight="1" x14ac:dyDescent="0.2"/>
    <row r="42" ht="15" hidden="1" customHeight="1" x14ac:dyDescent="0.2"/>
    <row r="43" ht="15" hidden="1" customHeight="1" x14ac:dyDescent="0.2"/>
    <row r="44" ht="15" hidden="1" customHeight="1" x14ac:dyDescent="0.2"/>
    <row r="45" ht="15" hidden="1" customHeight="1" x14ac:dyDescent="0.2"/>
    <row r="46" ht="15" hidden="1" customHeight="1" x14ac:dyDescent="0.2"/>
    <row r="47" ht="15" hidden="1" customHeight="1" x14ac:dyDescent="0.2"/>
    <row r="48" ht="15" hidden="1" customHeight="1" x14ac:dyDescent="0.2"/>
    <row r="49" ht="15" hidden="1" customHeight="1" x14ac:dyDescent="0.2"/>
    <row r="50" ht="15" hidden="1" customHeight="1" x14ac:dyDescent="0.2"/>
    <row r="51" ht="15" hidden="1" customHeight="1" x14ac:dyDescent="0.2"/>
    <row r="52" ht="15" hidden="1" customHeight="1" x14ac:dyDescent="0.2"/>
    <row r="53" ht="15" hidden="1" customHeight="1" x14ac:dyDescent="0.2"/>
    <row r="54" ht="15" hidden="1" customHeight="1" x14ac:dyDescent="0.2"/>
    <row r="55" ht="15" hidden="1" customHeight="1" x14ac:dyDescent="0.2"/>
    <row r="56" ht="15" hidden="1" customHeight="1" x14ac:dyDescent="0.2"/>
    <row r="57" ht="15" hidden="1" customHeight="1" x14ac:dyDescent="0.2"/>
    <row r="58" ht="15" hidden="1" customHeight="1" x14ac:dyDescent="0.2"/>
    <row r="59" ht="15" hidden="1" customHeight="1" x14ac:dyDescent="0.2"/>
    <row r="60" ht="15" hidden="1" customHeight="1" x14ac:dyDescent="0.2"/>
    <row r="61" ht="15" hidden="1" customHeight="1" x14ac:dyDescent="0.2"/>
    <row r="62" ht="15" hidden="1" customHeight="1" x14ac:dyDescent="0.2"/>
    <row r="63" ht="15" hidden="1" customHeight="1" x14ac:dyDescent="0.2"/>
    <row r="64" ht="15" hidden="1" customHeight="1" x14ac:dyDescent="0.2"/>
    <row r="65" ht="15" hidden="1" customHeight="1" x14ac:dyDescent="0.2"/>
    <row r="66" ht="15" hidden="1" customHeight="1" x14ac:dyDescent="0.2"/>
    <row r="67" ht="15" hidden="1" customHeight="1" x14ac:dyDescent="0.2"/>
    <row r="68" ht="15" hidden="1" customHeight="1" x14ac:dyDescent="0.2"/>
    <row r="69" ht="15" hidden="1" customHeight="1" x14ac:dyDescent="0.2"/>
    <row r="70" ht="15" hidden="1" customHeight="1" x14ac:dyDescent="0.2"/>
    <row r="71" ht="15" hidden="1" customHeight="1" x14ac:dyDescent="0.2"/>
    <row r="72" ht="15" hidden="1" customHeight="1" x14ac:dyDescent="0.2"/>
    <row r="73" ht="15" hidden="1" customHeight="1" x14ac:dyDescent="0.2"/>
    <row r="74" ht="15" hidden="1" customHeight="1" x14ac:dyDescent="0.2"/>
    <row r="75" ht="15" hidden="1" customHeight="1" x14ac:dyDescent="0.2"/>
    <row r="76" ht="15" hidden="1" customHeight="1" x14ac:dyDescent="0.2"/>
    <row r="77" ht="15" hidden="1" customHeight="1" x14ac:dyDescent="0.2"/>
    <row r="78" ht="15" hidden="1" customHeight="1" x14ac:dyDescent="0.2"/>
    <row r="79" ht="15" hidden="1" customHeight="1" x14ac:dyDescent="0.2"/>
    <row r="80" ht="15" hidden="1" customHeight="1" x14ac:dyDescent="0.2"/>
    <row r="81" ht="15" hidden="1" customHeight="1" x14ac:dyDescent="0.2"/>
    <row r="82" ht="15" hidden="1" customHeight="1" x14ac:dyDescent="0.2"/>
    <row r="83" ht="15" hidden="1" customHeight="1" x14ac:dyDescent="0.2"/>
    <row r="84" ht="15" hidden="1" customHeight="1" x14ac:dyDescent="0.2"/>
    <row r="85" ht="15" hidden="1" customHeight="1" x14ac:dyDescent="0.2"/>
    <row r="86" ht="15" hidden="1" customHeight="1" x14ac:dyDescent="0.2"/>
    <row r="87" ht="15" hidden="1" customHeight="1" x14ac:dyDescent="0.2"/>
    <row r="88" ht="15" hidden="1" customHeight="1" x14ac:dyDescent="0.2"/>
    <row r="89" ht="15" hidden="1" customHeight="1" x14ac:dyDescent="0.2"/>
    <row r="90" ht="15" hidden="1" customHeight="1" x14ac:dyDescent="0.2"/>
    <row r="91" ht="15" hidden="1" customHeight="1" x14ac:dyDescent="0.2"/>
    <row r="92" ht="15" hidden="1" customHeight="1" x14ac:dyDescent="0.2"/>
    <row r="93" ht="15" hidden="1" customHeight="1" x14ac:dyDescent="0.2"/>
    <row r="94" ht="15" hidden="1" customHeight="1" x14ac:dyDescent="0.2"/>
    <row r="95" ht="15" hidden="1" customHeight="1" x14ac:dyDescent="0.2"/>
    <row r="96" ht="15" hidden="1" customHeight="1" x14ac:dyDescent="0.2"/>
    <row r="97" ht="15" hidden="1" customHeight="1" x14ac:dyDescent="0.2"/>
    <row r="98" ht="15" hidden="1" customHeight="1" x14ac:dyDescent="0.2"/>
    <row r="99" ht="15" hidden="1" customHeight="1" x14ac:dyDescent="0.2"/>
    <row r="100" ht="15" hidden="1" customHeight="1" x14ac:dyDescent="0.2"/>
    <row r="101" ht="15" hidden="1" customHeight="1" x14ac:dyDescent="0.2"/>
    <row r="102" ht="15" hidden="1" customHeight="1" x14ac:dyDescent="0.2"/>
    <row r="103" ht="15" hidden="1" customHeight="1" x14ac:dyDescent="0.2"/>
    <row r="104" ht="15" hidden="1" customHeight="1" x14ac:dyDescent="0.2"/>
    <row r="105" ht="15" hidden="1" customHeight="1" x14ac:dyDescent="0.2"/>
    <row r="106" ht="15" hidden="1" customHeight="1" x14ac:dyDescent="0.2"/>
    <row r="107" ht="15" hidden="1" customHeight="1" x14ac:dyDescent="0.2"/>
    <row r="108" ht="15" hidden="1" customHeight="1" x14ac:dyDescent="0.2"/>
    <row r="109" ht="15" hidden="1" customHeight="1" x14ac:dyDescent="0.2"/>
    <row r="110" ht="15" hidden="1" customHeight="1" x14ac:dyDescent="0.2"/>
    <row r="111" ht="15" hidden="1" customHeight="1" x14ac:dyDescent="0.2"/>
    <row r="112" ht="15" hidden="1" customHeight="1" x14ac:dyDescent="0.2"/>
    <row r="113" ht="15" hidden="1" customHeight="1" x14ac:dyDescent="0.2"/>
    <row r="114" ht="15" hidden="1" customHeight="1" x14ac:dyDescent="0.2"/>
    <row r="115" ht="15" hidden="1" customHeight="1" x14ac:dyDescent="0.2"/>
    <row r="116" ht="15" hidden="1" customHeight="1" x14ac:dyDescent="0.2"/>
    <row r="117" ht="15" hidden="1" customHeight="1" x14ac:dyDescent="0.2"/>
    <row r="118" ht="15" hidden="1" customHeight="1" x14ac:dyDescent="0.2"/>
    <row r="119" ht="15" hidden="1" customHeight="1" x14ac:dyDescent="0.2"/>
    <row r="120" ht="15" hidden="1" customHeight="1" x14ac:dyDescent="0.2"/>
    <row r="121" ht="15" hidden="1" customHeight="1" x14ac:dyDescent="0.2"/>
    <row r="122" ht="15" hidden="1" customHeight="1" x14ac:dyDescent="0.2"/>
    <row r="123" ht="15" hidden="1" customHeight="1" x14ac:dyDescent="0.2"/>
    <row r="124" ht="15" hidden="1" customHeight="1" x14ac:dyDescent="0.2"/>
    <row r="125" ht="15" hidden="1" customHeight="1" x14ac:dyDescent="0.2"/>
    <row r="126" ht="15" hidden="1" customHeight="1" x14ac:dyDescent="0.2"/>
    <row r="127" ht="15" hidden="1" customHeight="1" x14ac:dyDescent="0.2"/>
    <row r="128" ht="15" hidden="1" customHeight="1" x14ac:dyDescent="0.2"/>
    <row r="129" ht="15" hidden="1" customHeight="1" x14ac:dyDescent="0.2"/>
    <row r="130" ht="15" hidden="1" customHeight="1" x14ac:dyDescent="0.2"/>
    <row r="131" ht="15" hidden="1" customHeight="1" x14ac:dyDescent="0.2"/>
    <row r="132" ht="15" hidden="1" customHeight="1" x14ac:dyDescent="0.2"/>
    <row r="133" ht="15" hidden="1" customHeight="1" x14ac:dyDescent="0.2"/>
    <row r="134" ht="15" hidden="1" customHeight="1" x14ac:dyDescent="0.2"/>
    <row r="135" ht="15" hidden="1" customHeight="1" x14ac:dyDescent="0.2"/>
    <row r="136" ht="15" hidden="1" customHeight="1" x14ac:dyDescent="0.2"/>
    <row r="137" ht="15" hidden="1" customHeight="1" x14ac:dyDescent="0.2"/>
    <row r="138" ht="15" hidden="1" customHeight="1" x14ac:dyDescent="0.2"/>
    <row r="139" ht="15" hidden="1" customHeight="1" x14ac:dyDescent="0.2"/>
    <row r="140" ht="15" hidden="1" customHeight="1" x14ac:dyDescent="0.2"/>
    <row r="141" ht="15" hidden="1" customHeight="1" x14ac:dyDescent="0.2"/>
    <row r="142" ht="15" hidden="1" customHeight="1" x14ac:dyDescent="0.2"/>
    <row r="143" ht="15" hidden="1" customHeight="1" x14ac:dyDescent="0.2"/>
    <row r="144" ht="15" hidden="1" customHeight="1" x14ac:dyDescent="0.2"/>
    <row r="145" ht="15" hidden="1" customHeight="1" x14ac:dyDescent="0.2"/>
    <row r="146" ht="15" hidden="1" customHeight="1" x14ac:dyDescent="0.2"/>
    <row r="147" ht="15" hidden="1" customHeight="1" x14ac:dyDescent="0.2"/>
    <row r="148" ht="15" hidden="1" customHeight="1" x14ac:dyDescent="0.2"/>
    <row r="149" ht="15" hidden="1" customHeight="1" x14ac:dyDescent="0.2"/>
    <row r="150" ht="15" hidden="1" customHeight="1" x14ac:dyDescent="0.2"/>
    <row r="151" ht="15" hidden="1" customHeight="1" x14ac:dyDescent="0.2"/>
    <row r="152" ht="15" hidden="1" customHeight="1" x14ac:dyDescent="0.2"/>
    <row r="153" ht="15" hidden="1" customHeight="1" x14ac:dyDescent="0.2"/>
    <row r="154" ht="15" hidden="1" customHeight="1" x14ac:dyDescent="0.2"/>
    <row r="155" ht="15" hidden="1" customHeight="1" x14ac:dyDescent="0.2"/>
    <row r="156" ht="15" hidden="1" customHeight="1" x14ac:dyDescent="0.2"/>
    <row r="157" ht="15" hidden="1" customHeight="1" x14ac:dyDescent="0.2"/>
    <row r="158" ht="15" hidden="1" customHeight="1" x14ac:dyDescent="0.2"/>
    <row r="159" ht="15" hidden="1" customHeight="1" x14ac:dyDescent="0.2"/>
    <row r="160" ht="15" hidden="1" customHeight="1" x14ac:dyDescent="0.2"/>
    <row r="161" ht="15" hidden="1" customHeight="1" x14ac:dyDescent="0.2"/>
    <row r="162" ht="15" hidden="1" customHeight="1" x14ac:dyDescent="0.2"/>
    <row r="163" ht="15" hidden="1" customHeight="1" x14ac:dyDescent="0.2"/>
    <row r="164" ht="15" hidden="1" customHeight="1" x14ac:dyDescent="0.2"/>
    <row r="165" ht="15" hidden="1" customHeight="1" x14ac:dyDescent="0.2"/>
    <row r="166" ht="15" hidden="1" customHeight="1" x14ac:dyDescent="0.2"/>
    <row r="167" ht="15" hidden="1" customHeight="1" x14ac:dyDescent="0.2"/>
    <row r="168" ht="15" hidden="1" customHeight="1" x14ac:dyDescent="0.2"/>
    <row r="169" ht="15" hidden="1" customHeight="1" x14ac:dyDescent="0.2"/>
    <row r="170" ht="15" hidden="1" customHeight="1" x14ac:dyDescent="0.2"/>
    <row r="171" ht="15" hidden="1" customHeight="1" x14ac:dyDescent="0.2"/>
    <row r="172" ht="15" hidden="1" customHeight="1" x14ac:dyDescent="0.2"/>
    <row r="173" ht="15" hidden="1" customHeight="1" x14ac:dyDescent="0.2"/>
    <row r="174" ht="15" hidden="1" customHeight="1" x14ac:dyDescent="0.2"/>
    <row r="175" ht="15" hidden="1" customHeight="1" x14ac:dyDescent="0.2"/>
    <row r="176" ht="15" hidden="1" customHeight="1" x14ac:dyDescent="0.2"/>
    <row r="177" ht="15" hidden="1" customHeight="1" x14ac:dyDescent="0.2"/>
    <row r="178" ht="15" hidden="1" customHeight="1" x14ac:dyDescent="0.2"/>
    <row r="179" ht="15" hidden="1" customHeight="1" x14ac:dyDescent="0.2"/>
    <row r="180" ht="15" hidden="1" customHeight="1" x14ac:dyDescent="0.2"/>
    <row r="181" ht="15" hidden="1" customHeight="1" x14ac:dyDescent="0.2"/>
    <row r="182" ht="15" hidden="1" customHeight="1" x14ac:dyDescent="0.2"/>
    <row r="183" ht="15" hidden="1" customHeight="1" x14ac:dyDescent="0.2"/>
    <row r="184" ht="15" hidden="1" customHeight="1" x14ac:dyDescent="0.2"/>
    <row r="185" ht="15" hidden="1" customHeight="1" x14ac:dyDescent="0.2"/>
    <row r="186" ht="15" hidden="1" customHeight="1" x14ac:dyDescent="0.2"/>
    <row r="187" ht="15" hidden="1" customHeight="1" x14ac:dyDescent="0.2"/>
    <row r="188" ht="15" hidden="1" customHeight="1" x14ac:dyDescent="0.2"/>
    <row r="189" ht="15" hidden="1" customHeight="1" x14ac:dyDescent="0.2"/>
    <row r="190" ht="15" hidden="1" customHeight="1" x14ac:dyDescent="0.2"/>
    <row r="191" ht="15" hidden="1" customHeight="1" x14ac:dyDescent="0.2"/>
    <row r="192" ht="15" hidden="1" customHeight="1" x14ac:dyDescent="0.2"/>
    <row r="193" ht="15" hidden="1" customHeight="1" x14ac:dyDescent="0.2"/>
    <row r="194" ht="15" hidden="1" customHeight="1" x14ac:dyDescent="0.2"/>
    <row r="195" ht="15" hidden="1" customHeight="1" x14ac:dyDescent="0.2"/>
    <row r="196" ht="15" hidden="1" customHeight="1" x14ac:dyDescent="0.2"/>
    <row r="197" ht="15" hidden="1" customHeight="1" x14ac:dyDescent="0.2"/>
    <row r="198" ht="15" hidden="1" customHeight="1" x14ac:dyDescent="0.2"/>
    <row r="199" ht="15" hidden="1" customHeight="1" x14ac:dyDescent="0.2"/>
  </sheetData>
  <mergeCells count="5">
    <mergeCell ref="B2:C2"/>
    <mergeCell ref="E2:F2"/>
    <mergeCell ref="B3:C3"/>
    <mergeCell ref="B7:C7"/>
    <mergeCell ref="B24:C24"/>
  </mergeCells>
  <pageMargins left="0.3" right="0.3" top="0.4" bottom="0.4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A1F66"/>
    <pageSetUpPr fitToPage="1"/>
  </sheetPr>
  <dimension ref="B2:AW199"/>
  <sheetViews>
    <sheetView showGridLines="0" tabSelected="1" zoomScaleNormal="100" workbookViewId="0">
      <selection activeCell="J25" sqref="J25"/>
    </sheetView>
  </sheetViews>
  <sheetFormatPr baseColWidth="10" defaultColWidth="8.6640625" defaultRowHeight="15" x14ac:dyDescent="0.2"/>
  <cols>
    <col min="1" max="1" width="2" customWidth="1"/>
    <col min="2" max="6" width="22" customWidth="1"/>
    <col min="7" max="7" width="3" customWidth="1"/>
    <col min="8" max="8" width="6" customWidth="1"/>
    <col min="9" max="9" width="24" customWidth="1"/>
    <col min="10" max="10" width="16" customWidth="1"/>
    <col min="11" max="11" width="2" hidden="1" customWidth="1"/>
    <col min="12" max="49" width="13" hidden="1" customWidth="1"/>
  </cols>
  <sheetData>
    <row r="2" spans="2:10" ht="25.5" customHeight="1" x14ac:dyDescent="0.2">
      <c r="B2" s="159" t="str">
        <f>'1. Your Setup'!$C$8</f>
        <v>Your Business Ltd</v>
      </c>
      <c r="C2" s="159"/>
      <c r="D2" s="159"/>
      <c r="E2" s="159"/>
      <c r="F2" s="159"/>
      <c r="G2" s="1"/>
      <c r="H2" s="160" t="s">
        <v>279</v>
      </c>
      <c r="I2" s="160"/>
      <c r="J2" s="160"/>
    </row>
    <row r="3" spans="2:10" ht="31.5" customHeight="1" x14ac:dyDescent="0.2">
      <c r="B3" s="128" t="str">
        <f>IF('1. Your Setup'!$C$9="","",'1. Your Setup'!$C$9&amp;", ")&amp;IF('1. Your Setup'!$C$10="","",'1. Your Setup'!$C$10&amp;", ")&amp;IF('1. Your Setup'!$C$11="","",'1. Your Setup'!$C$11)&amp;IF('1. Your Setup'!$C$12="","","  |  "&amp;'1. Your Setup'!$C$12)&amp;IF('1. Your Setup'!$C$13="","","  |  "&amp;'1. Your Setup'!$C$13)</f>
        <v>1 Example Street, Town, SW1 1AA  |  07123 456 789  |  you@yourbusiness.co.uk</v>
      </c>
      <c r="C3" s="128"/>
      <c r="D3" s="128"/>
      <c r="E3" s="128"/>
      <c r="F3" s="128"/>
      <c r="H3" s="161" t="s">
        <v>280</v>
      </c>
      <c r="I3" s="161"/>
      <c r="J3" s="161"/>
    </row>
    <row r="4" spans="2:10" ht="21.75" customHeight="1" x14ac:dyDescent="0.2">
      <c r="B4" s="4"/>
      <c r="C4" s="5"/>
      <c r="D4" s="5"/>
      <c r="E4" s="5"/>
      <c r="F4" s="5"/>
      <c r="H4" s="64" t="s">
        <v>281</v>
      </c>
      <c r="I4" s="111" t="s">
        <v>282</v>
      </c>
      <c r="J4" s="111"/>
    </row>
    <row r="5" spans="2:10" ht="21.75" customHeight="1" x14ac:dyDescent="0.2">
      <c r="B5" s="2"/>
      <c r="H5" s="64" t="s">
        <v>283</v>
      </c>
      <c r="I5" s="111" t="s">
        <v>284</v>
      </c>
      <c r="J5" s="111"/>
    </row>
    <row r="6" spans="2:10" ht="27.75" customHeight="1" x14ac:dyDescent="0.2">
      <c r="B6" s="157" t="s">
        <v>285</v>
      </c>
      <c r="C6" s="157"/>
      <c r="D6" s="157"/>
      <c r="E6" s="157"/>
      <c r="F6" s="157"/>
      <c r="H6" s="64" t="s">
        <v>286</v>
      </c>
      <c r="I6" s="111" t="s">
        <v>287</v>
      </c>
      <c r="J6" s="111"/>
    </row>
    <row r="7" spans="2:10" ht="21.75" customHeight="1" x14ac:dyDescent="0.2">
      <c r="B7" s="2"/>
      <c r="H7" s="64" t="s">
        <v>288</v>
      </c>
      <c r="I7" s="111" t="s">
        <v>289</v>
      </c>
      <c r="J7" s="111"/>
    </row>
    <row r="8" spans="2:10" ht="18" customHeight="1" x14ac:dyDescent="0.2">
      <c r="B8" s="65" t="s">
        <v>290</v>
      </c>
      <c r="C8" s="158" t="str">
        <f>IF('5. Pricing Sheet'!$E$9="","",'5. Pricing Sheet'!$E$9)</f>
        <v/>
      </c>
      <c r="D8" s="158"/>
      <c r="E8" s="67" t="s">
        <v>291</v>
      </c>
      <c r="F8" s="66" t="str">
        <f>IF('5. Pricing Sheet'!$E$8="","",'5. Pricing Sheet'!$E$8)</f>
        <v/>
      </c>
      <c r="H8" s="64" t="s">
        <v>292</v>
      </c>
      <c r="I8" s="111" t="s">
        <v>293</v>
      </c>
      <c r="J8" s="111"/>
    </row>
    <row r="9" spans="2:10" ht="18" customHeight="1" x14ac:dyDescent="0.2">
      <c r="B9" s="65" t="s">
        <v>294</v>
      </c>
      <c r="C9" s="155" t="str">
        <f>IF('5. Pricing Sheet'!$E$10="","",'5. Pricing Sheet'!$E$10)</f>
        <v/>
      </c>
      <c r="D9" s="155"/>
      <c r="E9" s="67" t="s">
        <v>295</v>
      </c>
      <c r="F9" s="69">
        <f ca="1">'5. Pricing Sheet'!$E$11</f>
        <v>46156</v>
      </c>
      <c r="H9" s="64" t="s">
        <v>296</v>
      </c>
      <c r="I9" s="111" t="s">
        <v>297</v>
      </c>
      <c r="J9" s="111"/>
    </row>
    <row r="10" spans="2:10" ht="18" customHeight="1" x14ac:dyDescent="0.2">
      <c r="B10" s="65" t="s">
        <v>298</v>
      </c>
      <c r="C10" s="155" t="str">
        <f>IF('5. Pricing Sheet'!$E$12="","",'5. Pricing Sheet'!$E$12)</f>
        <v/>
      </c>
      <c r="D10" s="155"/>
      <c r="E10" s="67" t="s">
        <v>299</v>
      </c>
      <c r="F10" s="68" t="str">
        <f>'1. Your Setup'!$C$17&amp;" days"</f>
        <v>30 days</v>
      </c>
      <c r="H10" s="64" t="s">
        <v>300</v>
      </c>
      <c r="I10" s="111" t="s">
        <v>301</v>
      </c>
      <c r="J10" s="111"/>
    </row>
    <row r="11" spans="2:10" ht="15" customHeight="1" x14ac:dyDescent="0.2">
      <c r="B11" s="2"/>
      <c r="J11" s="3"/>
    </row>
    <row r="12" spans="2:10" ht="21.75" customHeight="1" x14ac:dyDescent="0.2">
      <c r="B12" s="106" t="s">
        <v>302</v>
      </c>
      <c r="C12" s="106"/>
      <c r="D12" s="106"/>
      <c r="E12" s="106"/>
      <c r="F12" s="106"/>
      <c r="H12" s="156" t="s">
        <v>303</v>
      </c>
      <c r="I12" s="156"/>
      <c r="J12" s="156"/>
    </row>
    <row r="13" spans="2:10" ht="19.5" customHeight="1" x14ac:dyDescent="0.2">
      <c r="B13" s="151" t="str">
        <f>IF('5. Pricing Sheet'!$C$17="","",'5. Pricing Sheet'!$C$17)</f>
        <v>First fix</v>
      </c>
      <c r="C13" s="151"/>
      <c r="D13" s="151"/>
      <c r="E13" s="151"/>
      <c r="F13" s="70">
        <f>IF('5. Pricing Sheet'!$C$17="","",IFERROR(SUMIF('5. Pricing Sheet'!$C$26:$C$47,'5. Pricing Sheet'!$C$17,'5. Pricing Sheet'!$L$26:$L$47)/'5. Pricing Sheet'!$L$48*('5. Pricing Sheet'!$L$65-'5. Pricing Sheet'!$L$55-'5. Pricing Sheet'!$L$56-'5. Pricing Sheet'!$L$57),0))</f>
        <v>744.65222019659211</v>
      </c>
      <c r="H13" s="154" t="s">
        <v>304</v>
      </c>
      <c r="I13" s="154"/>
      <c r="J13" s="154"/>
    </row>
    <row r="14" spans="2:10" ht="19.5" customHeight="1" x14ac:dyDescent="0.2">
      <c r="B14" s="151" t="str">
        <f>IF('5. Pricing Sheet'!$C$18="","",'5. Pricing Sheet'!$C$18)</f>
        <v>Second fix</v>
      </c>
      <c r="C14" s="151"/>
      <c r="D14" s="151"/>
      <c r="E14" s="151"/>
      <c r="F14" s="70">
        <f>IF('5. Pricing Sheet'!$C$18="","",IFERROR(SUMIF('5. Pricing Sheet'!$C$26:$C$47,'5. Pricing Sheet'!$C$18,'5. Pricing Sheet'!$L$26:$L$47)/'5. Pricing Sheet'!$L$48*('5. Pricing Sheet'!$L$65-'5. Pricing Sheet'!$L$55-'5. Pricing Sheet'!$L$56-'5. Pricing Sheet'!$L$57),0))</f>
        <v>0</v>
      </c>
      <c r="H14" s="154" t="s">
        <v>305</v>
      </c>
      <c r="I14" s="154"/>
      <c r="J14" s="154"/>
    </row>
    <row r="15" spans="2:10" ht="19.5" customHeight="1" x14ac:dyDescent="0.2">
      <c r="B15" s="151" t="str">
        <f>IF('5. Pricing Sheet'!$C$19="","",'5. Pricing Sheet'!$C$19)</f>
        <v>Testing &amp; cert</v>
      </c>
      <c r="C15" s="151"/>
      <c r="D15" s="151"/>
      <c r="E15" s="151"/>
      <c r="F15" s="70">
        <f>IF('5. Pricing Sheet'!$C$19="","",IFERROR(SUMIF('5. Pricing Sheet'!$C$26:$C$47,'5. Pricing Sheet'!$C$19,'5. Pricing Sheet'!$L$26:$L$47)/'5. Pricing Sheet'!$L$48*('5. Pricing Sheet'!$L$65-'5. Pricing Sheet'!$L$55-'5. Pricing Sheet'!$L$56-'5. Pricing Sheet'!$L$57),0))</f>
        <v>314.67871730340789</v>
      </c>
      <c r="J15" s="3"/>
    </row>
    <row r="16" spans="2:10" ht="19.5" customHeight="1" x14ac:dyDescent="0.2">
      <c r="B16" s="151" t="str">
        <f>IF('5. Pricing Sheet'!$C$20="","",'5. Pricing Sheet'!$C$20)</f>
        <v/>
      </c>
      <c r="C16" s="151"/>
      <c r="D16" s="151"/>
      <c r="E16" s="151"/>
      <c r="F16" s="70" t="str">
        <f>IF('5. Pricing Sheet'!$C$20="","",IFERROR(SUMIF('5. Pricing Sheet'!$C$26:$C$47,'5. Pricing Sheet'!$C$20,'5. Pricing Sheet'!$L$26:$L$47)/'5. Pricing Sheet'!$L$48*('5. Pricing Sheet'!$L$65-'5. Pricing Sheet'!$L$55-'5. Pricing Sheet'!$L$56-'5. Pricing Sheet'!$L$57),0))</f>
        <v/>
      </c>
      <c r="H16" s="152" t="s">
        <v>306</v>
      </c>
      <c r="I16" s="152"/>
      <c r="J16" s="152"/>
    </row>
    <row r="17" spans="2:10" ht="19.5" customHeight="1" x14ac:dyDescent="0.2">
      <c r="B17" s="151" t="str">
        <f>IF('5. Pricing Sheet'!$C$21="","",'5. Pricing Sheet'!$C$21)</f>
        <v/>
      </c>
      <c r="C17" s="151"/>
      <c r="D17" s="151"/>
      <c r="E17" s="151"/>
      <c r="F17" s="70" t="str">
        <f>IF('5. Pricing Sheet'!$C$21="","",IFERROR(SUMIF('5. Pricing Sheet'!$C$26:$C$47,'5. Pricing Sheet'!$C$21,'5. Pricing Sheet'!$L$26:$L$47)/'5. Pricing Sheet'!$L$48*('5. Pricing Sheet'!$L$65-'5. Pricing Sheet'!$L$55-'5. Pricing Sheet'!$L$56-'5. Pricing Sheet'!$L$57),0))</f>
        <v/>
      </c>
      <c r="H17" s="153" t="s">
        <v>307</v>
      </c>
      <c r="I17" s="153"/>
      <c r="J17" s="153"/>
    </row>
    <row r="18" spans="2:10" ht="19.5" customHeight="1" x14ac:dyDescent="0.2">
      <c r="B18" s="151" t="str">
        <f>IF('5. Pricing Sheet'!$C$22="","",'5. Pricing Sheet'!$C$22)</f>
        <v/>
      </c>
      <c r="C18" s="151"/>
      <c r="D18" s="151"/>
      <c r="E18" s="151"/>
      <c r="F18" s="70" t="str">
        <f>IF('5. Pricing Sheet'!$C$22="","",IFERROR(SUMIF('5. Pricing Sheet'!$C$26:$C$47,'5. Pricing Sheet'!$C$22,'5. Pricing Sheet'!$L$26:$L$47)/'5. Pricing Sheet'!$L$48*('5. Pricing Sheet'!$L$65-'5. Pricing Sheet'!$L$55-'5. Pricing Sheet'!$L$56-'5. Pricing Sheet'!$L$57),0))</f>
        <v/>
      </c>
      <c r="J18" s="3"/>
    </row>
    <row r="19" spans="2:10" ht="19.5" customHeight="1" x14ac:dyDescent="0.2">
      <c r="B19" s="151" t="str">
        <f>IF(IFERROR(SUMIF('5. Pricing Sheet'!$C$26:$C$47,"",'5. Pricing Sheet'!$L$26:$L$47)/'5. Pricing Sheet'!$L$48*('5. Pricing Sheet'!$L$65-'5. Pricing Sheet'!$L$55-'5. Pricing Sheet'!$L$56-'5. Pricing Sheet'!$L$57),0)=0,"","General works")</f>
        <v/>
      </c>
      <c r="C19" s="151"/>
      <c r="D19" s="151"/>
      <c r="E19" s="151"/>
      <c r="F19" s="70">
        <f>IFERROR(SUMIF('5. Pricing Sheet'!$C$26:$C$47,"",'5. Pricing Sheet'!$L$26:$L$47)/'5. Pricing Sheet'!$L$48*('5. Pricing Sheet'!$L$65-'5. Pricing Sheet'!$L$55-'5. Pricing Sheet'!$L$56-'5. Pricing Sheet'!$L$57),0)</f>
        <v>0</v>
      </c>
      <c r="J19" s="3"/>
    </row>
    <row r="20" spans="2:10" ht="19.5" customHeight="1" x14ac:dyDescent="0.2">
      <c r="B20" s="151" t="str">
        <f>IF(('5. Pricing Sheet'!$L$55+'5. Pricing Sheet'!$L$56)=0,"","Subcontracted works")</f>
        <v/>
      </c>
      <c r="C20" s="151"/>
      <c r="D20" s="151"/>
      <c r="E20" s="151"/>
      <c r="F20" s="70">
        <f>'5. Pricing Sheet'!$L$55+'5. Pricing Sheet'!$L$56</f>
        <v>0</v>
      </c>
      <c r="J20" s="3"/>
    </row>
    <row r="21" spans="2:10" ht="19.5" customHeight="1" x14ac:dyDescent="0.2">
      <c r="B21" s="151" t="str">
        <f>IF('5. Pricing Sheet'!$L$57=0,"","Provisional sums / other")</f>
        <v/>
      </c>
      <c r="C21" s="151"/>
      <c r="D21" s="151"/>
      <c r="E21" s="151"/>
      <c r="F21" s="70">
        <f>'5. Pricing Sheet'!$L$57</f>
        <v>0</v>
      </c>
      <c r="J21" s="3"/>
    </row>
    <row r="22" spans="2:10" ht="25.5" customHeight="1" x14ac:dyDescent="0.2">
      <c r="B22" s="136" t="s">
        <v>308</v>
      </c>
      <c r="C22" s="136"/>
      <c r="D22" s="136"/>
      <c r="E22" s="136"/>
      <c r="F22" s="71">
        <f>'5. Pricing Sheet'!$L$65</f>
        <v>1059.3309375000001</v>
      </c>
      <c r="J22" s="3"/>
    </row>
    <row r="23" spans="2:10" ht="19.5" customHeight="1" x14ac:dyDescent="0.2">
      <c r="B23" s="151" t="s">
        <v>309</v>
      </c>
      <c r="C23" s="151"/>
      <c r="D23" s="151"/>
      <c r="E23" s="151"/>
      <c r="F23" s="72">
        <f>'5. Pricing Sheet'!$L$66</f>
        <v>0</v>
      </c>
      <c r="J23" s="3"/>
    </row>
    <row r="24" spans="2:10" ht="31.5" customHeight="1" x14ac:dyDescent="0.2">
      <c r="B24" s="137" t="s">
        <v>310</v>
      </c>
      <c r="C24" s="137"/>
      <c r="D24" s="137"/>
      <c r="E24" s="137"/>
      <c r="F24" s="61">
        <f>'5. Pricing Sheet'!$L$67</f>
        <v>1059.3309375000001</v>
      </c>
      <c r="J24" s="3"/>
    </row>
    <row r="25" spans="2:10" ht="15.75" customHeight="1" x14ac:dyDescent="0.2">
      <c r="B25" s="150" t="s">
        <v>311</v>
      </c>
      <c r="C25" s="150"/>
      <c r="D25" s="150"/>
      <c r="E25" s="150"/>
      <c r="F25" s="150"/>
      <c r="J25" s="3"/>
    </row>
    <row r="26" spans="2:10" ht="15" customHeight="1" x14ac:dyDescent="0.2">
      <c r="B26" s="2"/>
      <c r="J26" s="3"/>
    </row>
    <row r="27" spans="2:10" ht="21.75" customHeight="1" x14ac:dyDescent="0.2">
      <c r="B27" s="106" t="s">
        <v>312</v>
      </c>
      <c r="C27" s="106"/>
      <c r="D27" s="106"/>
      <c r="E27" s="106"/>
      <c r="F27" s="106"/>
      <c r="J27" s="3"/>
    </row>
    <row r="28" spans="2:10" ht="15.75" customHeight="1" x14ac:dyDescent="0.2">
      <c r="B28" s="144" t="s">
        <v>313</v>
      </c>
      <c r="C28" s="144"/>
      <c r="D28" s="144"/>
      <c r="E28" s="144"/>
      <c r="F28" s="144"/>
      <c r="J28" s="3"/>
    </row>
    <row r="29" spans="2:10" ht="13.5" customHeight="1" x14ac:dyDescent="0.2">
      <c r="B29" s="148" t="str">
        <f>IF(UPPER('6. Exclusions'!B10)="Y","•  "&amp;'6. Exclusions'!C10,"")</f>
        <v/>
      </c>
      <c r="C29" s="148"/>
      <c r="D29" s="148"/>
      <c r="E29" s="148"/>
      <c r="F29" s="148"/>
      <c r="J29" s="3"/>
    </row>
    <row r="30" spans="2:10" ht="13.5" customHeight="1" x14ac:dyDescent="0.2">
      <c r="B30" s="148" t="str">
        <f>IF(UPPER('6. Exclusions'!B11)="Y","•  "&amp;'6. Exclusions'!C11,"")</f>
        <v/>
      </c>
      <c r="C30" s="148"/>
      <c r="D30" s="148"/>
      <c r="E30" s="148"/>
      <c r="F30" s="148"/>
      <c r="J30" s="3"/>
    </row>
    <row r="31" spans="2:10" ht="13.5" customHeight="1" x14ac:dyDescent="0.2">
      <c r="B31" s="148" t="str">
        <f>IF(UPPER('6. Exclusions'!B12)="Y","•  "&amp;'6. Exclusions'!C12,"")</f>
        <v/>
      </c>
      <c r="C31" s="148"/>
      <c r="D31" s="148"/>
      <c r="E31" s="148"/>
      <c r="F31" s="148"/>
      <c r="J31" s="3"/>
    </row>
    <row r="32" spans="2:10" ht="13.5" customHeight="1" x14ac:dyDescent="0.2">
      <c r="B32" s="148" t="str">
        <f>IF(UPPER('6. Exclusions'!B13)="Y","•  "&amp;'6. Exclusions'!C13,"")</f>
        <v/>
      </c>
      <c r="C32" s="148"/>
      <c r="D32" s="148"/>
      <c r="E32" s="148"/>
      <c r="F32" s="148"/>
      <c r="J32" s="3"/>
    </row>
    <row r="33" spans="2:10" ht="13.5" customHeight="1" x14ac:dyDescent="0.2">
      <c r="B33" s="148" t="str">
        <f>IF(UPPER('6. Exclusions'!B14)="Y","•  "&amp;'6. Exclusions'!C14,"")</f>
        <v/>
      </c>
      <c r="C33" s="148"/>
      <c r="D33" s="148"/>
      <c r="E33" s="148"/>
      <c r="F33" s="148"/>
      <c r="J33" s="3"/>
    </row>
    <row r="34" spans="2:10" ht="13.5" customHeight="1" x14ac:dyDescent="0.2">
      <c r="B34" s="148" t="str">
        <f>IF(UPPER('6. Exclusions'!B15)="Y","•  "&amp;'6. Exclusions'!C15,"")</f>
        <v/>
      </c>
      <c r="C34" s="148"/>
      <c r="D34" s="148"/>
      <c r="E34" s="148"/>
      <c r="F34" s="148"/>
      <c r="J34" s="3"/>
    </row>
    <row r="35" spans="2:10" ht="13.5" customHeight="1" x14ac:dyDescent="0.2">
      <c r="B35" s="148" t="str">
        <f>IF(UPPER('6. Exclusions'!B16)="Y","•  "&amp;'6. Exclusions'!C16,"")</f>
        <v/>
      </c>
      <c r="C35" s="148"/>
      <c r="D35" s="148"/>
      <c r="E35" s="148"/>
      <c r="F35" s="148"/>
      <c r="J35" s="3"/>
    </row>
    <row r="36" spans="2:10" ht="13.5" customHeight="1" x14ac:dyDescent="0.2">
      <c r="B36" s="148" t="str">
        <f>IF(UPPER('6. Exclusions'!B17)="Y","•  "&amp;'6. Exclusions'!C17,"")</f>
        <v/>
      </c>
      <c r="C36" s="148"/>
      <c r="D36" s="148"/>
      <c r="E36" s="148"/>
      <c r="F36" s="148"/>
      <c r="J36" s="3"/>
    </row>
    <row r="37" spans="2:10" ht="13.5" customHeight="1" x14ac:dyDescent="0.2">
      <c r="B37" s="148" t="str">
        <f>IF(UPPER('6. Exclusions'!B18)="Y","•  "&amp;'6. Exclusions'!C18,"")</f>
        <v/>
      </c>
      <c r="C37" s="148"/>
      <c r="D37" s="148"/>
      <c r="E37" s="148"/>
      <c r="F37" s="148"/>
      <c r="J37" s="3"/>
    </row>
    <row r="38" spans="2:10" ht="13.5" customHeight="1" x14ac:dyDescent="0.2">
      <c r="B38" s="148" t="str">
        <f>IF(UPPER('6. Exclusions'!B19)="Y","•  "&amp;'6. Exclusions'!C19,"")</f>
        <v/>
      </c>
      <c r="C38" s="148"/>
      <c r="D38" s="148"/>
      <c r="E38" s="148"/>
      <c r="F38" s="148"/>
      <c r="J38" s="3"/>
    </row>
    <row r="39" spans="2:10" ht="13.5" customHeight="1" x14ac:dyDescent="0.2">
      <c r="B39" s="148" t="str">
        <f>IF(UPPER('6. Exclusions'!B20)="Y","•  "&amp;'6. Exclusions'!C20,"")</f>
        <v>•  Parking permits, suspensions or congestion charges</v>
      </c>
      <c r="C39" s="148"/>
      <c r="D39" s="148"/>
      <c r="E39" s="148"/>
      <c r="F39" s="148"/>
      <c r="J39" s="3"/>
    </row>
    <row r="40" spans="2:10" ht="13.5" customHeight="1" x14ac:dyDescent="0.2">
      <c r="B40" s="148" t="str">
        <f>IF(UPPER('6. Exclusions'!B21)="Y","•  "&amp;'6. Exclusions'!C21,"")</f>
        <v>•  Welfare facilities (assumed provided by main contractor or client)</v>
      </c>
      <c r="C40" s="148"/>
      <c r="D40" s="148"/>
      <c r="E40" s="148"/>
      <c r="F40" s="148"/>
      <c r="J40" s="3"/>
    </row>
    <row r="41" spans="2:10" ht="13.5" customHeight="1" x14ac:dyDescent="0.2">
      <c r="B41" s="148" t="str">
        <f>IF(UPPER('6. Exclusions'!B22)="Y","•  "&amp;'6. Exclusions'!C22,"")</f>
        <v>•  Skip hire or waste removal of non-electrical materials</v>
      </c>
      <c r="C41" s="148"/>
      <c r="D41" s="148"/>
      <c r="E41" s="148"/>
      <c r="F41" s="148"/>
      <c r="J41" s="3"/>
    </row>
    <row r="42" spans="2:10" ht="13.5" customHeight="1" x14ac:dyDescent="0.2">
      <c r="B42" s="148" t="str">
        <f>IF(UPPER('6. Exclusions'!B23)="Y","•  "&amp;'6. Exclusions'!C23,"")</f>
        <v>•  Disposal of fluorescent tubes or hazardous waste</v>
      </c>
      <c r="C42" s="148"/>
      <c r="D42" s="148"/>
      <c r="E42" s="148"/>
      <c r="F42" s="148"/>
      <c r="J42" s="3"/>
    </row>
    <row r="43" spans="2:10" ht="13.5" customHeight="1" x14ac:dyDescent="0.2">
      <c r="B43" s="148" t="str">
        <f>IF(UPPER('6. Exclusions'!B24)="Y","•  "&amp;'6. Exclusions'!C24,"")</f>
        <v>•  Statutory testing or commissioning beyond standard EICR</v>
      </c>
      <c r="C43" s="148"/>
      <c r="D43" s="148"/>
      <c r="E43" s="148"/>
      <c r="F43" s="148"/>
      <c r="J43" s="3"/>
    </row>
    <row r="44" spans="2:10" ht="13.5" customHeight="1" x14ac:dyDescent="0.2">
      <c r="B44" s="148" t="str">
        <f>IF(UPPER('6. Exclusions'!B25)="Y","•  "&amp;'6. Exclusions'!C25,"")</f>
        <v>•  Third-party witnessing, inspection or sign-off fees</v>
      </c>
      <c r="C44" s="148"/>
      <c r="D44" s="148"/>
      <c r="E44" s="148"/>
      <c r="F44" s="148"/>
      <c r="J44" s="3"/>
    </row>
    <row r="45" spans="2:10" ht="13.5" customHeight="1" x14ac:dyDescent="0.2">
      <c r="B45" s="148" t="str">
        <f>IF(UPPER('6. Exclusions'!B26)="Y","•  "&amp;'6. Exclusions'!C26,"")</f>
        <v>•  Builder's clean or final clean of working areas</v>
      </c>
      <c r="C45" s="148"/>
      <c r="D45" s="148"/>
      <c r="E45" s="148"/>
      <c r="F45" s="148"/>
      <c r="J45" s="3"/>
    </row>
    <row r="46" spans="2:10" ht="13.5" customHeight="1" x14ac:dyDescent="0.2">
      <c r="B46" s="148" t="str">
        <f>IF(UPPER('6. Exclusions'!B27)="Y","•  "&amp;'6. Exclusions'!C27,"")</f>
        <v/>
      </c>
      <c r="C46" s="148"/>
      <c r="D46" s="148"/>
      <c r="E46" s="148"/>
      <c r="F46" s="148"/>
      <c r="J46" s="3"/>
    </row>
    <row r="47" spans="2:10" ht="13.5" customHeight="1" x14ac:dyDescent="0.2">
      <c r="B47" s="148" t="str">
        <f>IF(UPPER('6. Exclusions'!B28)="Y","•  "&amp;'6. Exclusions'!C28,"")</f>
        <v/>
      </c>
      <c r="C47" s="148"/>
      <c r="D47" s="148"/>
      <c r="E47" s="148"/>
      <c r="F47" s="148"/>
      <c r="J47" s="3"/>
    </row>
    <row r="48" spans="2:10" ht="13.5" customHeight="1" x14ac:dyDescent="0.2">
      <c r="B48" s="148" t="str">
        <f>IF(UPPER('6. Exclusions'!B29)="Y","•  "&amp;'6. Exclusions'!C29,"")</f>
        <v/>
      </c>
      <c r="C48" s="148"/>
      <c r="D48" s="148"/>
      <c r="E48" s="148"/>
      <c r="F48" s="148"/>
      <c r="J48" s="3"/>
    </row>
    <row r="49" spans="2:10" ht="13.5" customHeight="1" x14ac:dyDescent="0.2">
      <c r="B49" s="148" t="str">
        <f>IF(UPPER('6. Exclusions'!B30)="Y","•  "&amp;'6. Exclusions'!C30,"")</f>
        <v/>
      </c>
      <c r="C49" s="148"/>
      <c r="D49" s="148"/>
      <c r="E49" s="148"/>
      <c r="F49" s="148"/>
      <c r="J49" s="3"/>
    </row>
    <row r="50" spans="2:10" ht="13.5" customHeight="1" x14ac:dyDescent="0.2">
      <c r="B50" s="148" t="str">
        <f>IF(UPPER('6. Exclusions'!B31)="Y","•  "&amp;'6. Exclusions'!C31,"")</f>
        <v/>
      </c>
      <c r="C50" s="148"/>
      <c r="D50" s="148"/>
      <c r="E50" s="148"/>
      <c r="F50" s="148"/>
      <c r="J50" s="3"/>
    </row>
    <row r="51" spans="2:10" ht="13.5" customHeight="1" x14ac:dyDescent="0.2">
      <c r="B51" s="148" t="str">
        <f>IF(UPPER('6. Exclusions'!B32)="Y","•  "&amp;'6. Exclusions'!C32,"")</f>
        <v/>
      </c>
      <c r="C51" s="148"/>
      <c r="D51" s="148"/>
      <c r="E51" s="148"/>
      <c r="F51" s="148"/>
      <c r="J51" s="3"/>
    </row>
    <row r="52" spans="2:10" ht="13.5" customHeight="1" x14ac:dyDescent="0.2">
      <c r="B52" s="148" t="str">
        <f>IF(UPPER('6. Exclusions'!B33)="Y","•  "&amp;'6. Exclusions'!C33,"")</f>
        <v/>
      </c>
      <c r="C52" s="148"/>
      <c r="D52" s="148"/>
      <c r="E52" s="148"/>
      <c r="F52" s="148"/>
      <c r="J52" s="3"/>
    </row>
    <row r="53" spans="2:10" ht="13.5" customHeight="1" x14ac:dyDescent="0.2">
      <c r="B53" s="148" t="str">
        <f>IF(UPPER('6. Exclusions'!B34)="Y","•  "&amp;'6. Exclusions'!C34,"")</f>
        <v/>
      </c>
      <c r="C53" s="148"/>
      <c r="D53" s="148"/>
      <c r="E53" s="148"/>
      <c r="F53" s="148"/>
      <c r="J53" s="3"/>
    </row>
    <row r="54" spans="2:10" ht="13.5" customHeight="1" x14ac:dyDescent="0.2">
      <c r="B54" s="148" t="str">
        <f>IF(UPPER('6. Exclusions'!B35)="Y","•  "&amp;'6. Exclusions'!C35,"")</f>
        <v/>
      </c>
      <c r="C54" s="148"/>
      <c r="D54" s="148"/>
      <c r="E54" s="148"/>
      <c r="F54" s="148"/>
      <c r="J54" s="3"/>
    </row>
    <row r="55" spans="2:10" ht="13.5" customHeight="1" x14ac:dyDescent="0.2">
      <c r="B55" s="148" t="str">
        <f>IF(UPPER('6. Exclusions'!B36)="Y","•  "&amp;'6. Exclusions'!C36,"")</f>
        <v/>
      </c>
      <c r="C55" s="148"/>
      <c r="D55" s="148"/>
      <c r="E55" s="148"/>
      <c r="F55" s="148"/>
      <c r="J55" s="3"/>
    </row>
    <row r="56" spans="2:10" ht="13.5" customHeight="1" x14ac:dyDescent="0.2">
      <c r="B56" s="148" t="str">
        <f>IF(UPPER('6. Exclusions'!B37)="Y","•  "&amp;'6. Exclusions'!C37,"")</f>
        <v/>
      </c>
      <c r="C56" s="148"/>
      <c r="D56" s="148"/>
      <c r="E56" s="148"/>
      <c r="F56" s="148"/>
      <c r="J56" s="3"/>
    </row>
    <row r="57" spans="2:10" ht="13.5" customHeight="1" x14ac:dyDescent="0.2">
      <c r="B57" s="148" t="str">
        <f>IF(UPPER('6. Exclusions'!B38)="Y","•  "&amp;'6. Exclusions'!C38,"")</f>
        <v/>
      </c>
      <c r="C57" s="148"/>
      <c r="D57" s="148"/>
      <c r="E57" s="148"/>
      <c r="F57" s="148"/>
      <c r="J57" s="3"/>
    </row>
    <row r="58" spans="2:10" ht="13.5" customHeight="1" x14ac:dyDescent="0.2">
      <c r="B58" s="148" t="str">
        <f>IF(UPPER('6. Exclusions'!B39)="Y","•  "&amp;'6. Exclusions'!C39,"")</f>
        <v/>
      </c>
      <c r="C58" s="148"/>
      <c r="D58" s="148"/>
      <c r="E58" s="148"/>
      <c r="F58" s="148"/>
      <c r="J58" s="3"/>
    </row>
    <row r="59" spans="2:10" ht="13.5" customHeight="1" x14ac:dyDescent="0.2">
      <c r="B59" s="148" t="str">
        <f>IF(UPPER('6. Exclusions'!B40)="Y","•  "&amp;'6. Exclusions'!C40,"")</f>
        <v/>
      </c>
      <c r="C59" s="148"/>
      <c r="D59" s="148"/>
      <c r="E59" s="148"/>
      <c r="F59" s="148"/>
      <c r="J59" s="3"/>
    </row>
    <row r="60" spans="2:10" ht="13.5" customHeight="1" x14ac:dyDescent="0.2">
      <c r="B60" s="148" t="str">
        <f>IF(UPPER('6. Exclusions'!B41)="Y","•  "&amp;'6. Exclusions'!C41,"")</f>
        <v/>
      </c>
      <c r="C60" s="148"/>
      <c r="D60" s="148"/>
      <c r="E60" s="148"/>
      <c r="F60" s="148"/>
      <c r="J60" s="3"/>
    </row>
    <row r="61" spans="2:10" ht="13.5" customHeight="1" x14ac:dyDescent="0.2">
      <c r="B61" s="148" t="str">
        <f>IF(UPPER('6. Exclusions'!B42)="Y","•  "&amp;'6. Exclusions'!C42,"")</f>
        <v/>
      </c>
      <c r="C61" s="148"/>
      <c r="D61" s="148"/>
      <c r="E61" s="148"/>
      <c r="F61" s="148"/>
      <c r="J61" s="3"/>
    </row>
    <row r="62" spans="2:10" ht="13.5" customHeight="1" x14ac:dyDescent="0.2">
      <c r="B62" s="148" t="str">
        <f>IF(UPPER('6. Exclusions'!B43)="Y","•  "&amp;'6. Exclusions'!C43,"")</f>
        <v/>
      </c>
      <c r="C62" s="148"/>
      <c r="D62" s="148"/>
      <c r="E62" s="148"/>
      <c r="F62" s="148"/>
      <c r="J62" s="3"/>
    </row>
    <row r="63" spans="2:10" ht="13.5" customHeight="1" x14ac:dyDescent="0.2">
      <c r="B63" s="148" t="str">
        <f>IF(UPPER('6. Exclusions'!B44)="Y","•  "&amp;'6. Exclusions'!C44,"")</f>
        <v/>
      </c>
      <c r="C63" s="148"/>
      <c r="D63" s="148"/>
      <c r="E63" s="148"/>
      <c r="F63" s="148"/>
      <c r="J63" s="3"/>
    </row>
    <row r="64" spans="2:10" ht="13.5" customHeight="1" x14ac:dyDescent="0.2">
      <c r="B64" s="148" t="str">
        <f>IF(UPPER('6. Exclusions'!B45)="Y","•  "&amp;'6. Exclusions'!C45,"")</f>
        <v/>
      </c>
      <c r="C64" s="148"/>
      <c r="D64" s="148"/>
      <c r="E64" s="148"/>
      <c r="F64" s="148"/>
      <c r="J64" s="3"/>
    </row>
    <row r="65" spans="2:10" ht="13.5" customHeight="1" x14ac:dyDescent="0.2">
      <c r="B65" s="148" t="str">
        <f>IF(UPPER('6. Exclusions'!B46)="Y","•  "&amp;'6. Exclusions'!C46,"")</f>
        <v/>
      </c>
      <c r="C65" s="148"/>
      <c r="D65" s="148"/>
      <c r="E65" s="148"/>
      <c r="F65" s="148"/>
      <c r="J65" s="3"/>
    </row>
    <row r="66" spans="2:10" ht="13.5" customHeight="1" x14ac:dyDescent="0.2">
      <c r="B66" s="148" t="str">
        <f>IF(UPPER('6. Exclusions'!B47)="Y","•  "&amp;'6. Exclusions'!C47,"")</f>
        <v/>
      </c>
      <c r="C66" s="148"/>
      <c r="D66" s="148"/>
      <c r="E66" s="148"/>
      <c r="F66" s="148"/>
      <c r="J66" s="3"/>
    </row>
    <row r="67" spans="2:10" ht="13.5" customHeight="1" x14ac:dyDescent="0.2">
      <c r="B67" s="148" t="str">
        <f>IF(UPPER('6. Exclusions'!B48)="Y","•  "&amp;'6. Exclusions'!C48,"")</f>
        <v/>
      </c>
      <c r="C67" s="148"/>
      <c r="D67" s="148"/>
      <c r="E67" s="148"/>
      <c r="F67" s="148"/>
      <c r="J67" s="3"/>
    </row>
    <row r="68" spans="2:10" ht="15" customHeight="1" x14ac:dyDescent="0.2">
      <c r="B68" s="2"/>
      <c r="J68" s="3"/>
    </row>
    <row r="69" spans="2:10" ht="21.75" customHeight="1" x14ac:dyDescent="0.2">
      <c r="B69" s="106" t="s">
        <v>314</v>
      </c>
      <c r="C69" s="106"/>
      <c r="D69" s="106"/>
      <c r="E69" s="106"/>
      <c r="F69" s="106"/>
      <c r="J69" s="3"/>
    </row>
    <row r="70" spans="2:10" ht="21.75" customHeight="1" x14ac:dyDescent="0.2">
      <c r="B70" s="149" t="str">
        <f>'1. Your Setup'!$C$16</f>
        <v>Payment due within 14 days of invoice</v>
      </c>
      <c r="C70" s="149"/>
      <c r="D70" s="149"/>
      <c r="E70" s="149"/>
      <c r="F70" s="149"/>
      <c r="J70" s="3"/>
    </row>
    <row r="71" spans="2:10" ht="21.75" customHeight="1" x14ac:dyDescent="0.2">
      <c r="B71" s="146" t="s">
        <v>315</v>
      </c>
      <c r="C71" s="146"/>
      <c r="D71" s="146"/>
      <c r="E71" s="146"/>
      <c r="F71" s="146"/>
      <c r="J71" s="3"/>
    </row>
    <row r="72" spans="2:10" ht="15" customHeight="1" x14ac:dyDescent="0.2">
      <c r="B72" s="2"/>
      <c r="J72" s="3"/>
    </row>
    <row r="73" spans="2:10" ht="24" customHeight="1" x14ac:dyDescent="0.2">
      <c r="B73" s="37"/>
      <c r="C73" s="147" t="s">
        <v>316</v>
      </c>
      <c r="D73" s="147"/>
      <c r="E73" s="147"/>
      <c r="F73" s="147"/>
      <c r="G73" s="17"/>
      <c r="H73" s="17"/>
      <c r="I73" s="17"/>
      <c r="J73" s="18"/>
    </row>
    <row r="74" spans="2:10" ht="15" hidden="1" customHeight="1" x14ac:dyDescent="0.2"/>
    <row r="75" spans="2:10" ht="15" hidden="1" customHeight="1" x14ac:dyDescent="0.2"/>
    <row r="76" spans="2:10" ht="15" hidden="1" customHeight="1" x14ac:dyDescent="0.2"/>
    <row r="77" spans="2:10" ht="15" hidden="1" customHeight="1" x14ac:dyDescent="0.2"/>
    <row r="78" spans="2:10" ht="15" hidden="1" customHeight="1" x14ac:dyDescent="0.2"/>
    <row r="79" spans="2:10" ht="15" hidden="1" customHeight="1" x14ac:dyDescent="0.2"/>
    <row r="80" spans="2:10" ht="15" hidden="1" customHeight="1" x14ac:dyDescent="0.2"/>
    <row r="81" ht="15" hidden="1" customHeight="1" x14ac:dyDescent="0.2"/>
    <row r="82" ht="15" hidden="1" customHeight="1" x14ac:dyDescent="0.2"/>
    <row r="83" ht="15" hidden="1" customHeight="1" x14ac:dyDescent="0.2"/>
    <row r="84" ht="15" hidden="1" customHeight="1" x14ac:dyDescent="0.2"/>
    <row r="85" ht="15" hidden="1" customHeight="1" x14ac:dyDescent="0.2"/>
    <row r="86" ht="15" hidden="1" customHeight="1" x14ac:dyDescent="0.2"/>
    <row r="87" ht="15" hidden="1" customHeight="1" x14ac:dyDescent="0.2"/>
    <row r="88" ht="15" hidden="1" customHeight="1" x14ac:dyDescent="0.2"/>
    <row r="89" ht="15" hidden="1" customHeight="1" x14ac:dyDescent="0.2"/>
    <row r="90" ht="15" hidden="1" customHeight="1" x14ac:dyDescent="0.2"/>
    <row r="91" ht="15" hidden="1" customHeight="1" x14ac:dyDescent="0.2"/>
    <row r="92" ht="15" hidden="1" customHeight="1" x14ac:dyDescent="0.2"/>
    <row r="93" ht="15" hidden="1" customHeight="1" x14ac:dyDescent="0.2"/>
    <row r="94" ht="15" hidden="1" customHeight="1" x14ac:dyDescent="0.2"/>
    <row r="95" ht="15" hidden="1" customHeight="1" x14ac:dyDescent="0.2"/>
    <row r="96" ht="15" hidden="1" customHeight="1" x14ac:dyDescent="0.2"/>
    <row r="97" ht="15" hidden="1" customHeight="1" x14ac:dyDescent="0.2"/>
    <row r="98" ht="15" hidden="1" customHeight="1" x14ac:dyDescent="0.2"/>
    <row r="99" ht="15" hidden="1" customHeight="1" x14ac:dyDescent="0.2"/>
    <row r="100" ht="15" hidden="1" customHeight="1" x14ac:dyDescent="0.2"/>
    <row r="101" ht="15" hidden="1" customHeight="1" x14ac:dyDescent="0.2"/>
    <row r="102" ht="15" hidden="1" customHeight="1" x14ac:dyDescent="0.2"/>
    <row r="103" ht="15" hidden="1" customHeight="1" x14ac:dyDescent="0.2"/>
    <row r="104" ht="15" hidden="1" customHeight="1" x14ac:dyDescent="0.2"/>
    <row r="105" ht="15" hidden="1" customHeight="1" x14ac:dyDescent="0.2"/>
    <row r="106" ht="15" hidden="1" customHeight="1" x14ac:dyDescent="0.2"/>
    <row r="107" ht="15" hidden="1" customHeight="1" x14ac:dyDescent="0.2"/>
    <row r="108" ht="15" hidden="1" customHeight="1" x14ac:dyDescent="0.2"/>
    <row r="109" ht="15" hidden="1" customHeight="1" x14ac:dyDescent="0.2"/>
    <row r="110" ht="15" hidden="1" customHeight="1" x14ac:dyDescent="0.2"/>
    <row r="111" ht="15" hidden="1" customHeight="1" x14ac:dyDescent="0.2"/>
    <row r="112" ht="15" hidden="1" customHeight="1" x14ac:dyDescent="0.2"/>
    <row r="113" ht="15" hidden="1" customHeight="1" x14ac:dyDescent="0.2"/>
    <row r="114" ht="15" hidden="1" customHeight="1" x14ac:dyDescent="0.2"/>
    <row r="115" ht="15" hidden="1" customHeight="1" x14ac:dyDescent="0.2"/>
    <row r="116" ht="15" hidden="1" customHeight="1" x14ac:dyDescent="0.2"/>
    <row r="117" ht="15" hidden="1" customHeight="1" x14ac:dyDescent="0.2"/>
    <row r="118" ht="15" hidden="1" customHeight="1" x14ac:dyDescent="0.2"/>
    <row r="119" ht="15" hidden="1" customHeight="1" x14ac:dyDescent="0.2"/>
    <row r="120" ht="15" hidden="1" customHeight="1" x14ac:dyDescent="0.2"/>
    <row r="121" ht="15" hidden="1" customHeight="1" x14ac:dyDescent="0.2"/>
    <row r="122" ht="15" hidden="1" customHeight="1" x14ac:dyDescent="0.2"/>
    <row r="123" ht="15" hidden="1" customHeight="1" x14ac:dyDescent="0.2"/>
    <row r="124" ht="15" hidden="1" customHeight="1" x14ac:dyDescent="0.2"/>
    <row r="125" ht="15" hidden="1" customHeight="1" x14ac:dyDescent="0.2"/>
    <row r="126" ht="15" hidden="1" customHeight="1" x14ac:dyDescent="0.2"/>
    <row r="127" ht="15" hidden="1" customHeight="1" x14ac:dyDescent="0.2"/>
    <row r="128" ht="15" hidden="1" customHeight="1" x14ac:dyDescent="0.2"/>
    <row r="129" ht="15" hidden="1" customHeight="1" x14ac:dyDescent="0.2"/>
    <row r="130" ht="15" hidden="1" customHeight="1" x14ac:dyDescent="0.2"/>
    <row r="131" ht="15" hidden="1" customHeight="1" x14ac:dyDescent="0.2"/>
    <row r="132" ht="15" hidden="1" customHeight="1" x14ac:dyDescent="0.2"/>
    <row r="133" ht="15" hidden="1" customHeight="1" x14ac:dyDescent="0.2"/>
    <row r="134" ht="15" hidden="1" customHeight="1" x14ac:dyDescent="0.2"/>
    <row r="135" ht="15" hidden="1" customHeight="1" x14ac:dyDescent="0.2"/>
    <row r="136" ht="15" hidden="1" customHeight="1" x14ac:dyDescent="0.2"/>
    <row r="137" ht="15" hidden="1" customHeight="1" x14ac:dyDescent="0.2"/>
    <row r="138" ht="15" hidden="1" customHeight="1" x14ac:dyDescent="0.2"/>
    <row r="139" ht="15" hidden="1" customHeight="1" x14ac:dyDescent="0.2"/>
    <row r="140" ht="15" hidden="1" customHeight="1" x14ac:dyDescent="0.2"/>
    <row r="141" ht="15" hidden="1" customHeight="1" x14ac:dyDescent="0.2"/>
    <row r="142" ht="15" hidden="1" customHeight="1" x14ac:dyDescent="0.2"/>
    <row r="143" ht="15" hidden="1" customHeight="1" x14ac:dyDescent="0.2"/>
    <row r="144" ht="15" hidden="1" customHeight="1" x14ac:dyDescent="0.2"/>
    <row r="145" ht="15" hidden="1" customHeight="1" x14ac:dyDescent="0.2"/>
    <row r="146" ht="15" hidden="1" customHeight="1" x14ac:dyDescent="0.2"/>
    <row r="147" ht="15" hidden="1" customHeight="1" x14ac:dyDescent="0.2"/>
    <row r="148" ht="15" hidden="1" customHeight="1" x14ac:dyDescent="0.2"/>
    <row r="149" ht="15" hidden="1" customHeight="1" x14ac:dyDescent="0.2"/>
    <row r="150" ht="15" hidden="1" customHeight="1" x14ac:dyDescent="0.2"/>
    <row r="151" ht="15" hidden="1" customHeight="1" x14ac:dyDescent="0.2"/>
    <row r="152" ht="15" hidden="1" customHeight="1" x14ac:dyDescent="0.2"/>
    <row r="153" ht="15" hidden="1" customHeight="1" x14ac:dyDescent="0.2"/>
    <row r="154" ht="15" hidden="1" customHeight="1" x14ac:dyDescent="0.2"/>
    <row r="155" ht="15" hidden="1" customHeight="1" x14ac:dyDescent="0.2"/>
    <row r="156" ht="15" hidden="1" customHeight="1" x14ac:dyDescent="0.2"/>
    <row r="157" ht="15" hidden="1" customHeight="1" x14ac:dyDescent="0.2"/>
    <row r="158" ht="15" hidden="1" customHeight="1" x14ac:dyDescent="0.2"/>
    <row r="159" ht="15" hidden="1" customHeight="1" x14ac:dyDescent="0.2"/>
    <row r="160" ht="15" hidden="1" customHeight="1" x14ac:dyDescent="0.2"/>
    <row r="161" ht="15" hidden="1" customHeight="1" x14ac:dyDescent="0.2"/>
    <row r="162" ht="15" hidden="1" customHeight="1" x14ac:dyDescent="0.2"/>
    <row r="163" ht="15" hidden="1" customHeight="1" x14ac:dyDescent="0.2"/>
    <row r="164" ht="15" hidden="1" customHeight="1" x14ac:dyDescent="0.2"/>
    <row r="165" ht="15" hidden="1" customHeight="1" x14ac:dyDescent="0.2"/>
    <row r="166" ht="15" hidden="1" customHeight="1" x14ac:dyDescent="0.2"/>
    <row r="167" ht="15" hidden="1" customHeight="1" x14ac:dyDescent="0.2"/>
    <row r="168" ht="15" hidden="1" customHeight="1" x14ac:dyDescent="0.2"/>
    <row r="169" ht="15" hidden="1" customHeight="1" x14ac:dyDescent="0.2"/>
    <row r="170" ht="15" hidden="1" customHeight="1" x14ac:dyDescent="0.2"/>
    <row r="171" ht="15" hidden="1" customHeight="1" x14ac:dyDescent="0.2"/>
    <row r="172" ht="15" hidden="1" customHeight="1" x14ac:dyDescent="0.2"/>
    <row r="173" ht="15" hidden="1" customHeight="1" x14ac:dyDescent="0.2"/>
    <row r="174" ht="15" hidden="1" customHeight="1" x14ac:dyDescent="0.2"/>
    <row r="175" ht="15" hidden="1" customHeight="1" x14ac:dyDescent="0.2"/>
    <row r="176" ht="15" hidden="1" customHeight="1" x14ac:dyDescent="0.2"/>
    <row r="177" ht="15" hidden="1" customHeight="1" x14ac:dyDescent="0.2"/>
    <row r="178" ht="15" hidden="1" customHeight="1" x14ac:dyDescent="0.2"/>
    <row r="179" ht="15" hidden="1" customHeight="1" x14ac:dyDescent="0.2"/>
    <row r="180" ht="15" hidden="1" customHeight="1" x14ac:dyDescent="0.2"/>
    <row r="181" ht="15" hidden="1" customHeight="1" x14ac:dyDescent="0.2"/>
    <row r="182" ht="15" hidden="1" customHeight="1" x14ac:dyDescent="0.2"/>
    <row r="183" ht="15" hidden="1" customHeight="1" x14ac:dyDescent="0.2"/>
    <row r="184" ht="15" hidden="1" customHeight="1" x14ac:dyDescent="0.2"/>
    <row r="185" ht="15" hidden="1" customHeight="1" x14ac:dyDescent="0.2"/>
    <row r="186" ht="15" hidden="1" customHeight="1" x14ac:dyDescent="0.2"/>
    <row r="187" ht="15" hidden="1" customHeight="1" x14ac:dyDescent="0.2"/>
    <row r="188" ht="15" hidden="1" customHeight="1" x14ac:dyDescent="0.2"/>
    <row r="189" ht="15" hidden="1" customHeight="1" x14ac:dyDescent="0.2"/>
    <row r="190" ht="15" hidden="1" customHeight="1" x14ac:dyDescent="0.2"/>
    <row r="191" ht="15" hidden="1" customHeight="1" x14ac:dyDescent="0.2"/>
    <row r="192" ht="15" hidden="1" customHeight="1" x14ac:dyDescent="0.2"/>
    <row r="193" ht="15" hidden="1" customHeight="1" x14ac:dyDescent="0.2"/>
    <row r="194" ht="15" hidden="1" customHeight="1" x14ac:dyDescent="0.2"/>
    <row r="195" ht="15" hidden="1" customHeight="1" x14ac:dyDescent="0.2"/>
    <row r="196" ht="15" hidden="1" customHeight="1" x14ac:dyDescent="0.2"/>
    <row r="197" ht="15" hidden="1" customHeight="1" x14ac:dyDescent="0.2"/>
    <row r="198" ht="15" hidden="1" customHeight="1" x14ac:dyDescent="0.2"/>
    <row r="199" ht="15" hidden="1" customHeight="1" x14ac:dyDescent="0.2"/>
  </sheetData>
  <mergeCells count="79">
    <mergeCell ref="B2:F2"/>
    <mergeCell ref="H2:J2"/>
    <mergeCell ref="B3:F3"/>
    <mergeCell ref="H3:J3"/>
    <mergeCell ref="I4:J4"/>
    <mergeCell ref="I5:J5"/>
    <mergeCell ref="B6:F6"/>
    <mergeCell ref="I6:J6"/>
    <mergeCell ref="I7:J7"/>
    <mergeCell ref="C8:D8"/>
    <mergeCell ref="I8:J8"/>
    <mergeCell ref="C9:D9"/>
    <mergeCell ref="I9:J9"/>
    <mergeCell ref="C10:D10"/>
    <mergeCell ref="I10:J10"/>
    <mergeCell ref="B12:F12"/>
    <mergeCell ref="H12:J12"/>
    <mergeCell ref="B13:E13"/>
    <mergeCell ref="H13:J13"/>
    <mergeCell ref="B14:E14"/>
    <mergeCell ref="H14:J14"/>
    <mergeCell ref="B15:E15"/>
    <mergeCell ref="B16:E16"/>
    <mergeCell ref="H16:J16"/>
    <mergeCell ref="B17:E17"/>
    <mergeCell ref="H17:J17"/>
    <mergeCell ref="B18:E18"/>
    <mergeCell ref="B19:E19"/>
    <mergeCell ref="B20:E20"/>
    <mergeCell ref="B21:E21"/>
    <mergeCell ref="B22:E22"/>
    <mergeCell ref="B23:E23"/>
    <mergeCell ref="B24:E24"/>
    <mergeCell ref="B25:F25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  <mergeCell ref="B71:F71"/>
    <mergeCell ref="C73:F73"/>
    <mergeCell ref="B65:F65"/>
    <mergeCell ref="B66:F66"/>
    <mergeCell ref="B67:F67"/>
    <mergeCell ref="B69:F69"/>
    <mergeCell ref="B70:F70"/>
  </mergeCells>
  <pageMargins left="0.3" right="0.3" top="0.4" bottom="0.4" header="0.511811023622047" footer="0.511811023622047"/>
  <pageSetup paperSize="9" scale="6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12</vt:i4>
      </vt:variant>
    </vt:vector>
  </HeadingPairs>
  <TitlesOfParts>
    <vt:vector size="21" baseType="lpstr">
      <vt:lpstr>Read Me</vt:lpstr>
      <vt:lpstr>1. Your Setup</vt:lpstr>
      <vt:lpstr>2. Materials</vt:lpstr>
      <vt:lpstr>3. Travel</vt:lpstr>
      <vt:lpstr>4. Accommodation</vt:lpstr>
      <vt:lpstr>5. Pricing Sheet</vt:lpstr>
      <vt:lpstr>6. Exclusions</vt:lpstr>
      <vt:lpstr>7. Check Sheet</vt:lpstr>
      <vt:lpstr>8. Client Quote</vt:lpstr>
      <vt:lpstr>MatCategories</vt:lpstr>
      <vt:lpstr>MatItems</vt:lpstr>
      <vt:lpstr>'1. Your Setup'!Print_Area</vt:lpstr>
      <vt:lpstr>'2. Materials'!Print_Area</vt:lpstr>
      <vt:lpstr>'3. Travel'!Print_Area</vt:lpstr>
      <vt:lpstr>'4. Accommodation'!Print_Area</vt:lpstr>
      <vt:lpstr>'5. Pricing Sheet'!Print_Area</vt:lpstr>
      <vt:lpstr>'6. Exclusions'!Print_Area</vt:lpstr>
      <vt:lpstr>'7. Check Sheet'!Print_Area</vt:lpstr>
      <vt:lpstr>'8. Client Quote'!Print_Area</vt:lpstr>
      <vt:lpstr>'Read Me'!Print_Area</vt:lpstr>
      <vt:lpstr>SectionNames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liam@remc.uk</cp:lastModifiedBy>
  <cp:revision>0</cp:revision>
  <dcterms:created xsi:type="dcterms:W3CDTF">2026-05-13T20:19:21Z</dcterms:created>
  <dcterms:modified xsi:type="dcterms:W3CDTF">2026-05-14T10:39:09Z</dcterms:modified>
  <dc:language>en-US</dc:language>
</cp:coreProperties>
</file>