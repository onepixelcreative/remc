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0"/>
  <workbookPr/>
  <mc:AlternateContent xmlns:mc="http://schemas.openxmlformats.org/markup-compatibility/2006">
    <mc:Choice Requires="x15">
      <x15ac:absPath xmlns:x15ac="http://schemas.microsoft.com/office/spreadsheetml/2010/11/ac" url="/Users/liammacleod/Desktop/2. REMC Ltd/15. REMC - Estimating Starter Pack/"/>
    </mc:Choice>
  </mc:AlternateContent>
  <xr:revisionPtr revIDLastSave="0" documentId="8_{4970E2AF-9893-8E4F-924E-9A358F59140F}" xr6:coauthVersionLast="47" xr6:coauthVersionMax="47" xr10:uidLastSave="{00000000-0000-0000-0000-000000000000}"/>
  <bookViews>
    <workbookView xWindow="0" yWindow="0" windowWidth="51200" windowHeight="28800" tabRatio="500" xr2:uid="{00000000-000D-0000-FFFF-FFFF00000000}"/>
  </bookViews>
  <sheets>
    <sheet name="Read Me" sheetId="1" r:id="rId1"/>
    <sheet name="Dashboard" sheetId="2" r:id="rId2"/>
    <sheet name="Register" sheetId="3" r:id="rId3"/>
  </sheets>
  <definedNames>
    <definedName name="_xlnm.Print_Area" localSheetId="1">Dashboard!$A$1:$Q$26</definedName>
    <definedName name="_xlnm.Print_Area" localSheetId="0">'Read Me'!$A$1:$H$28</definedName>
    <definedName name="_xlnm.Print_Area" localSheetId="2">Register!$A$1:$M$70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loext="http://schemas.libreoffice.org/" uri="{7626C862-2A13-11E5-B345-FEFF819CDC9F}">
      <loext:extCalcPr stringRefSyntax="ExcelA1"/>
    </ext>
  </extLst>
</workbook>
</file>

<file path=xl/calcChain.xml><?xml version="1.0" encoding="utf-8"?>
<calcChain xmlns="http://schemas.openxmlformats.org/spreadsheetml/2006/main">
  <c r="J66" i="3" l="1"/>
  <c r="J65" i="3"/>
  <c r="J64" i="3"/>
  <c r="J63" i="3"/>
  <c r="N9" i="2" s="1"/>
  <c r="J62" i="3"/>
  <c r="J61" i="3"/>
  <c r="J60" i="3"/>
  <c r="J59" i="3"/>
  <c r="J58" i="3"/>
  <c r="J57" i="3"/>
  <c r="J56" i="3"/>
  <c r="J55" i="3"/>
  <c r="J54" i="3"/>
  <c r="J53" i="3"/>
  <c r="J52" i="3"/>
  <c r="J51" i="3"/>
  <c r="J50" i="3"/>
  <c r="J49" i="3"/>
  <c r="J48" i="3"/>
  <c r="J47" i="3"/>
  <c r="J46" i="3"/>
  <c r="J45" i="3"/>
  <c r="J44" i="3"/>
  <c r="J43" i="3"/>
  <c r="J42" i="3"/>
  <c r="J41" i="3"/>
  <c r="J40" i="3"/>
  <c r="J39" i="3"/>
  <c r="J38" i="3"/>
  <c r="J37" i="3"/>
  <c r="J36" i="3"/>
  <c r="J35" i="3"/>
  <c r="J34" i="3"/>
  <c r="J33" i="3"/>
  <c r="J32" i="3"/>
  <c r="J31" i="3"/>
  <c r="J30" i="3"/>
  <c r="J29" i="3"/>
  <c r="J28" i="3"/>
  <c r="J27" i="3"/>
  <c r="J26" i="3"/>
  <c r="J25" i="3"/>
  <c r="J24" i="3"/>
  <c r="J23" i="3"/>
  <c r="J22" i="3"/>
  <c r="J21" i="3"/>
  <c r="J20" i="3"/>
  <c r="J19" i="3"/>
  <c r="J18" i="3"/>
  <c r="J17" i="3"/>
  <c r="J16" i="3"/>
  <c r="J15" i="3"/>
  <c r="J14" i="3"/>
  <c r="J13" i="3"/>
  <c r="J12" i="3"/>
  <c r="J11" i="3"/>
  <c r="J10" i="3"/>
  <c r="J9" i="3"/>
  <c r="J8" i="3"/>
  <c r="J7" i="3"/>
  <c r="N23" i="2"/>
  <c r="J23" i="2"/>
  <c r="F23" i="2"/>
  <c r="B23" i="2"/>
  <c r="N16" i="2"/>
  <c r="J16" i="2"/>
  <c r="F16" i="2"/>
  <c r="B16" i="2"/>
  <c r="J9" i="2"/>
  <c r="F9" i="2"/>
  <c r="B9" i="2"/>
</calcChain>
</file>

<file path=xl/sharedStrings.xml><?xml version="1.0" encoding="utf-8"?>
<sst xmlns="http://schemas.openxmlformats.org/spreadsheetml/2006/main" count="75" uniqueCount="75">
  <si>
    <t>The Enquiry Register</t>
  </si>
  <si>
    <t>by REMC</t>
  </si>
  <si>
    <t>Your master log of every enquiry. The project reference here is the link to The Estimator.</t>
  </si>
  <si>
    <t>How it works</t>
  </si>
  <si>
    <t>1. Log every enquiry</t>
  </si>
  <si>
    <t>When you get an enquiry — by phone, email, walk-in — open the Register and add a row. Even the ones you're unlikely to win. Especially those ones.</t>
  </si>
  <si>
    <t>2. Give it a project reference</t>
  </si>
  <si>
    <t>Use a consistent naming pattern (see below). This reference goes into The Estimator when you quote, into your file names, and onto your invoices. One ID, everywhere.</t>
  </si>
  <si>
    <t>3. Fill in what you know</t>
  </si>
  <si>
    <t>Client name, contact details, what the job is, when you sent the quote, the quote value. Some columns calculate themselves.</t>
  </si>
  <si>
    <t>4. Set the status</t>
  </si>
  <si>
    <t>In tender (still pricing it up), Submitted (quote sent), Won (you got the job), Lost (someone else got it). The rows colour themselves accordingly.</t>
  </si>
  <si>
    <t>5. Watch the Dashboard</t>
  </si>
  <si>
    <t>The Dashboard tab gives you a live overview — pipeline value, win rate, what's overdue. Open the workbook in the morning, scan it, get on with the day.</t>
  </si>
  <si>
    <t>6. Chase up at the right time</t>
  </si>
  <si>
    <t>The Chase-up date auto-fills as 2 weeks after Submission Date. When it turns red, it's overdue — pick up the phone.</t>
  </si>
  <si>
    <t>7. Add notes as you go</t>
  </si>
  <si>
    <t>The Comments column is for anything that helps future-you remember the context. Why they wanted it. What they pushed back on. Whether they're a tyre-kicker.</t>
  </si>
  <si>
    <t xml:space="preserve">  NAMING YOUR PROJECT REFERENCES</t>
  </si>
  <si>
    <t>Use a consistent pattern. It saves hours of "which job was that again?" later. Pick ONE pattern and stick to it.</t>
  </si>
  <si>
    <t>REMC-2026-001</t>
  </si>
  <si>
    <t>Your initials, year, three-digit job number. Simple, sortable, scales for years.</t>
  </si>
  <si>
    <t>JS-PARKVIEW-001</t>
  </si>
  <si>
    <t>Your initials, an abbreviation of the client or site, sequential number. Useful when you do repeat work for the same builder.</t>
  </si>
  <si>
    <t>2026-001-ELEC</t>
  </si>
  <si>
    <t>Year-first, sequential, with a trade tag at the end. Handy if you ever expand into other trades.</t>
  </si>
  <si>
    <t>The point isn't which pattern. The point is using ONE pattern. Don't mix and match.</t>
  </si>
  <si>
    <t>Built by REMC Ltd — outsourced estimating for electrical contractors</t>
  </si>
  <si>
    <t>Dashboard</t>
  </si>
  <si>
    <t>Live pipeline overview · refreshes every time you open the workbook</t>
  </si>
  <si>
    <t>PIPELINE</t>
  </si>
  <si>
    <t>TOTAL ENQUIRIES</t>
  </si>
  <si>
    <t>IN TENDER</t>
  </si>
  <si>
    <t>SUBMITTED · WAITING</t>
  </si>
  <si>
    <t>CHASE-UPS OVERDUE</t>
  </si>
  <si>
    <t>OUTCOMES</t>
  </si>
  <si>
    <t>WON</t>
  </si>
  <si>
    <t>LOST</t>
  </si>
  <si>
    <t>WIN RATE</t>
  </si>
  <si>
    <t>AVG QUOTE VALUE</t>
  </si>
  <si>
    <t>MONEY</t>
  </si>
  <si>
    <t>OPEN PIPELINE</t>
  </si>
  <si>
    <t>VALUE WON</t>
  </si>
  <si>
    <t>VALUE LOST</t>
  </si>
  <si>
    <t>HIT RATE (£)</t>
  </si>
  <si>
    <t>All figures pull from the Register tab. Update the Status column there and these numbers update instantly.</t>
  </si>
  <si>
    <t>Enquiry Register</t>
  </si>
  <si>
    <t>Every enquiry, every status, every chase-up — in one place.</t>
  </si>
  <si>
    <t>e.g. REMC-2026-001</t>
  </si>
  <si>
    <t>Who's paying</t>
  </si>
  <si>
    <t>Day-to-day contact</t>
  </si>
  <si>
    <t>Short job description</t>
  </si>
  <si>
    <t>When you sent the quote</t>
  </si>
  <si>
    <t>Quote total (ex VAT)</t>
  </si>
  <si>
    <t>Auto: +14 days</t>
  </si>
  <si>
    <t>Pick from list</t>
  </si>
  <si>
    <t>Anything useful</t>
  </si>
  <si>
    <t>PROJECT REF</t>
  </si>
  <si>
    <t>CLIENT</t>
  </si>
  <si>
    <t>CONTACT NAME</t>
  </si>
  <si>
    <t>EMAIL</t>
  </si>
  <si>
    <t>PHONE</t>
  </si>
  <si>
    <t>PROJECT</t>
  </si>
  <si>
    <t>SUBMITTED</t>
  </si>
  <si>
    <t>VALUE</t>
  </si>
  <si>
    <t>CHASE-UP</t>
  </si>
  <si>
    <t>STATUS</t>
  </si>
  <si>
    <t>COMMENTS</t>
  </si>
  <si>
    <t>STATUS COLOURS</t>
  </si>
  <si>
    <t>In tender</t>
  </si>
  <si>
    <t>Submitted</t>
  </si>
  <si>
    <t>Won</t>
  </si>
  <si>
    <t>Lost</t>
  </si>
  <si>
    <t>Chase overdue</t>
  </si>
  <si>
    <t>The Chase-up date auto-calculates as Submission Date + 14 days. When that date passes and Status is still 'Submitted', the row turns red — chase that day.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</si>
</sst>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164" formatCode="#,##0;[Red]\(#,##0\);\-"/>
    <numFmt numFmtId="165" formatCode="0%;[Red]\(0%\);\-"/>
    <numFmt numFmtId="166" formatCode="\£#,##0"/>
    <numFmt numFmtId="167" formatCode="\£#,##0;[Red]&quot;(£&quot;#,##0\);&quot;&quot;"/>
  </numFmts>
  <fonts count="26" x14ac:knownFonts="1">
    <font>
      <sz val="11"/>
      <color theme="1"/>
      <name val="Calibri"/>
      <family val="2"/>
      <charset val="1"/>
    </font>
    <font>
      <b/>
      <sz val="28"/>
      <color rgb="FF0A1F66"/>
      <name val="Neue Montreal"/>
    </font>
    <font>
      <sz val="10"/>
      <color rgb="FF6B7390"/>
      <name val="Neue Montreal"/>
    </font>
    <font>
      <i/>
      <sz val="11"/>
      <color rgb="FF6B7390"/>
      <name val="Neue Montreal"/>
    </font>
    <font>
      <b/>
      <sz val="13"/>
      <color rgb="FF0A1F66"/>
      <name val="Neue Montreal"/>
    </font>
    <font>
      <sz val="10"/>
      <color rgb="FF1A1F36"/>
      <name val="Neue Montreal"/>
    </font>
    <font>
      <b/>
      <sz val="11"/>
      <color rgb="FFFFFFFF"/>
      <name val="Neue Montreal"/>
    </font>
    <font>
      <b/>
      <sz val="10"/>
      <color rgb="FF0A1F66"/>
      <name val="Neue Montreal"/>
    </font>
    <font>
      <i/>
      <sz val="9"/>
      <color rgb="FF6B7390"/>
      <name val="Neue Montreal"/>
    </font>
    <font>
      <i/>
      <sz val="8"/>
      <color rgb="FF6B7390"/>
      <name val="Neue Montreal"/>
    </font>
    <font>
      <b/>
      <sz val="20"/>
      <color rgb="FFFFFFFF"/>
      <name val="Neue Montreal"/>
    </font>
    <font>
      <sz val="10"/>
      <color rgb="FFB8C0DD"/>
      <name val="Neue Montreal"/>
    </font>
    <font>
      <b/>
      <sz val="9"/>
      <color rgb="FF6B7390"/>
      <name val="Neue Montreal"/>
    </font>
    <font>
      <sz val="9"/>
      <color rgb="FF6B7390"/>
      <name val="Neue Montreal"/>
    </font>
    <font>
      <b/>
      <sz val="24"/>
      <color rgb="FF0A1F66"/>
      <name val="Neue Montreal"/>
    </font>
    <font>
      <b/>
      <sz val="24"/>
      <color rgb="FF555F7A"/>
      <name val="Neue Montreal"/>
    </font>
    <font>
      <b/>
      <sz val="24"/>
      <color rgb="FFC58A00"/>
      <name val="Neue Montreal"/>
    </font>
    <font>
      <b/>
      <sz val="24"/>
      <color rgb="FFDC3545"/>
      <name val="Neue Montreal"/>
    </font>
    <font>
      <b/>
      <sz val="24"/>
      <color rgb="FF1E7E34"/>
      <name val="Neue Montreal"/>
    </font>
    <font>
      <b/>
      <sz val="24"/>
      <color rgb="FF9F2231"/>
      <name val="Neue Montreal"/>
    </font>
    <font>
      <i/>
      <sz val="8"/>
      <color rgb="FF9CA3B5"/>
      <name val="Neue Montreal"/>
    </font>
    <font>
      <b/>
      <sz val="9"/>
      <color rgb="FFFFFFFF"/>
      <name val="Neue Montreal"/>
    </font>
    <font>
      <b/>
      <sz val="10"/>
      <color rgb="FF1A1F36"/>
      <name val="Neue Montreal"/>
    </font>
    <font>
      <sz val="10"/>
      <color rgb="FF2B4FFF"/>
      <name val="Neue Montreal"/>
    </font>
    <font>
      <sz val="11"/>
      <color rgb="FF2B4FFF"/>
      <name val="Neue Montreal"/>
    </font>
    <font>
      <sz val="10"/>
      <color rgb="FF0A1F66"/>
      <name val="Neue Montreal"/>
    </font>
  </fonts>
  <fills count="16">
    <fill>
      <patternFill patternType="none"/>
    </fill>
    <fill>
      <patternFill patternType="gray125"/>
    </fill>
    <fill>
      <patternFill patternType="solid">
        <fgColor rgb="FF2B4FFF"/>
        <bgColor rgb="FF0066CC"/>
      </patternFill>
    </fill>
    <fill>
      <patternFill patternType="solid">
        <fgColor rgb="FF0A1F66"/>
        <bgColor rgb="FF061344"/>
      </patternFill>
    </fill>
    <fill>
      <patternFill patternType="solid">
        <fgColor rgb="FFF7F8FB"/>
        <bgColor rgb="FFF5F7FC"/>
      </patternFill>
    </fill>
    <fill>
      <patternFill patternType="solid">
        <fgColor rgb="FF061344"/>
        <bgColor rgb="FF0A1F66"/>
      </patternFill>
    </fill>
    <fill>
      <patternFill patternType="solid">
        <fgColor rgb="FF8B92A8"/>
        <bgColor rgb="FF9CA3B5"/>
      </patternFill>
    </fill>
    <fill>
      <patternFill patternType="solid">
        <fgColor rgb="FFC58A00"/>
        <bgColor rgb="FF808000"/>
      </patternFill>
    </fill>
    <fill>
      <patternFill patternType="solid">
        <fgColor rgb="FFDC3545"/>
        <bgColor rgb="FF9F2231"/>
      </patternFill>
    </fill>
    <fill>
      <patternFill patternType="solid">
        <fgColor rgb="FFFAFBFD"/>
        <bgColor rgb="FFF7F8FB"/>
      </patternFill>
    </fill>
    <fill>
      <patternFill patternType="solid">
        <fgColor rgb="FF1E7E34"/>
        <bgColor rgb="FF339966"/>
      </patternFill>
    </fill>
    <fill>
      <patternFill patternType="solid">
        <fgColor rgb="FF9F2231"/>
        <bgColor rgb="FF993366"/>
      </patternFill>
    </fill>
    <fill>
      <patternFill patternType="solid">
        <fgColor rgb="FFFFFFFF"/>
        <bgColor rgb="FFFAFBFD"/>
      </patternFill>
    </fill>
    <fill>
      <patternFill patternType="solid">
        <fgColor rgb="FFF4F6FA"/>
        <bgColor rgb="FFF5F6F8"/>
      </patternFill>
    </fill>
    <fill>
      <patternFill patternType="solid">
        <fgColor rgb="FFF5F7FC"/>
        <bgColor rgb="FFF4F6FA"/>
      </patternFill>
    </fill>
    <fill>
      <patternFill patternType="solid">
        <fgColor rgb="FFEDF0F6"/>
        <bgColor rgb="FFEBF6EE"/>
      </patternFill>
    </fill>
  </fills>
  <borders count="43">
    <border>
      <left/>
      <right/>
      <top/>
      <bottom/>
      <diagonal/>
    </border>
    <border>
      <left style="medium">
        <color rgb="FF0A1F66"/>
      </left>
      <right/>
      <top/>
      <bottom/>
      <diagonal/>
    </border>
    <border>
      <left/>
      <right style="medium">
        <color rgb="FF0A1F66"/>
      </right>
      <top/>
      <bottom/>
      <diagonal/>
    </border>
    <border>
      <left style="medium">
        <color rgb="FF0A1F66"/>
      </left>
      <right style="medium">
        <color rgb="FF0A1F66"/>
      </right>
      <top/>
      <bottom/>
      <diagonal/>
    </border>
    <border>
      <left style="medium">
        <color rgb="FF0A1F66"/>
      </left>
      <right style="thin">
        <color rgb="FF0A1F66"/>
      </right>
      <top style="thin">
        <color rgb="FF0A1F66"/>
      </top>
      <bottom style="thin">
        <color rgb="FF0A1F66"/>
      </bottom>
      <diagonal/>
    </border>
    <border>
      <left style="medium">
        <color rgb="FF0A1F66"/>
      </left>
      <right style="thin">
        <color rgb="FFE2E5F0"/>
      </right>
      <top style="thin">
        <color rgb="FFE2E5F0"/>
      </top>
      <bottom style="thin">
        <color rgb="FFE2E5F0"/>
      </bottom>
      <diagonal/>
    </border>
    <border>
      <left style="thin">
        <color rgb="FFE2E5F0"/>
      </left>
      <right style="thin">
        <color rgb="FFE2E5F0"/>
      </right>
      <top style="thin">
        <color rgb="FFE2E5F0"/>
      </top>
      <bottom style="thin">
        <color rgb="FFE2E5F0"/>
      </bottom>
      <diagonal/>
    </border>
    <border>
      <left style="medium">
        <color rgb="FF0A1F66"/>
      </left>
      <right style="medium">
        <color rgb="FF0A1F66"/>
      </right>
      <top/>
      <bottom style="medium">
        <color rgb="FF0A1F66"/>
      </bottom>
      <diagonal/>
    </border>
    <border>
      <left style="medium">
        <color rgb="FF0A1F66"/>
      </left>
      <right style="medium">
        <color rgb="FF0A1F66"/>
      </right>
      <top style="medium">
        <color rgb="FF0A1F66"/>
      </top>
      <bottom/>
      <diagonal/>
    </border>
    <border>
      <left style="medium">
        <color rgb="FF0A1F66"/>
      </left>
      <right/>
      <top style="thin">
        <color rgb="FFDCE0EC"/>
      </top>
      <bottom/>
      <diagonal/>
    </border>
    <border>
      <left/>
      <right/>
      <top style="thin">
        <color rgb="FFDCE0EC"/>
      </top>
      <bottom/>
      <diagonal/>
    </border>
    <border>
      <left/>
      <right style="thin">
        <color rgb="FFDCE0EC"/>
      </right>
      <top style="thin">
        <color rgb="FFDCE0EC"/>
      </top>
      <bottom/>
      <diagonal/>
    </border>
    <border>
      <left style="thin">
        <color rgb="FFDCE0EC"/>
      </left>
      <right/>
      <top style="thin">
        <color rgb="FFDCE0EC"/>
      </top>
      <bottom/>
      <diagonal/>
    </border>
    <border>
      <left/>
      <right style="medium">
        <color rgb="FF0A1F66"/>
      </right>
      <top style="thin">
        <color rgb="FFDCE0EC"/>
      </top>
      <bottom/>
      <diagonal/>
    </border>
    <border>
      <left style="medium">
        <color rgb="FF0A1F66"/>
      </left>
      <right style="thin">
        <color rgb="FFDCE0EC"/>
      </right>
      <top/>
      <bottom/>
      <diagonal/>
    </border>
    <border>
      <left style="thin">
        <color rgb="FFDCE0EC"/>
      </left>
      <right style="thin">
        <color rgb="FFDCE0EC"/>
      </right>
      <top/>
      <bottom/>
      <diagonal/>
    </border>
    <border>
      <left style="thin">
        <color rgb="FFDCE0EC"/>
      </left>
      <right style="medium">
        <color rgb="FF0A1F66"/>
      </right>
      <top/>
      <bottom/>
      <diagonal/>
    </border>
    <border>
      <left style="medium">
        <color rgb="FF0A1F66"/>
      </left>
      <right style="thin">
        <color rgb="FFDCE0EC"/>
      </right>
      <top/>
      <bottom style="thin">
        <color rgb="FFDCE0EC"/>
      </bottom>
      <diagonal/>
    </border>
    <border>
      <left style="thin">
        <color rgb="FFDCE0EC"/>
      </left>
      <right style="thin">
        <color rgb="FFDCE0EC"/>
      </right>
      <top/>
      <bottom style="thin">
        <color rgb="FFDCE0EC"/>
      </bottom>
      <diagonal/>
    </border>
    <border>
      <left style="thin">
        <color rgb="FFDCE0EC"/>
      </left>
      <right style="medium">
        <color rgb="FF0A1F66"/>
      </right>
      <top/>
      <bottom style="thin">
        <color rgb="FFDCE0EC"/>
      </bottom>
      <diagonal/>
    </border>
    <border>
      <left style="medium">
        <color rgb="FF0A1F66"/>
      </left>
      <right style="thin">
        <color rgb="FF061344"/>
      </right>
      <top style="thin">
        <color rgb="FF061344"/>
      </top>
      <bottom style="thin">
        <color rgb="FF061344"/>
      </bottom>
      <diagonal/>
    </border>
    <border>
      <left style="thin">
        <color rgb="FF061344"/>
      </left>
      <right style="thin">
        <color rgb="FF061344"/>
      </right>
      <top style="thin">
        <color rgb="FF061344"/>
      </top>
      <bottom style="thin">
        <color rgb="FF061344"/>
      </bottom>
      <diagonal/>
    </border>
    <border>
      <left style="thin">
        <color rgb="FF061344"/>
      </left>
      <right style="medium">
        <color rgb="FF0A1F66"/>
      </right>
      <top style="thin">
        <color rgb="FF061344"/>
      </top>
      <bottom style="thin">
        <color rgb="FF061344"/>
      </bottom>
      <diagonal/>
    </border>
    <border>
      <left style="thin">
        <color rgb="FFE2E5F0"/>
      </left>
      <right style="medium">
        <color rgb="FF0A1F66"/>
      </right>
      <top style="thin">
        <color rgb="FFE2E5F0"/>
      </top>
      <bottom style="thin">
        <color rgb="FFE2E5F0"/>
      </bottom>
      <diagonal/>
    </border>
    <border>
      <left style="medium">
        <color rgb="FF0A1F66"/>
      </left>
      <right style="thin">
        <color rgb="FF8B92A8"/>
      </right>
      <top style="thin">
        <color rgb="FF8B92A8"/>
      </top>
      <bottom style="thin">
        <color rgb="FF8B92A8"/>
      </bottom>
      <diagonal/>
    </border>
    <border>
      <left style="thin">
        <color rgb="FFC58A00"/>
      </left>
      <right style="thin">
        <color rgb="FFC58A00"/>
      </right>
      <top style="thin">
        <color rgb="FFC58A00"/>
      </top>
      <bottom style="thin">
        <color rgb="FFC58A00"/>
      </bottom>
      <diagonal/>
    </border>
    <border>
      <left style="thin">
        <color rgb="FF1E7E34"/>
      </left>
      <right style="thin">
        <color rgb="FF1E7E34"/>
      </right>
      <top style="thin">
        <color rgb="FF1E7E34"/>
      </top>
      <bottom style="thin">
        <color rgb="FF1E7E34"/>
      </bottom>
      <diagonal/>
    </border>
    <border>
      <left style="thin">
        <color rgb="FF9F2231"/>
      </left>
      <right style="thin">
        <color rgb="FF9F2231"/>
      </right>
      <top style="thin">
        <color rgb="FF9F2231"/>
      </top>
      <bottom style="thin">
        <color rgb="FF9F2231"/>
      </bottom>
      <diagonal/>
    </border>
    <border>
      <left style="thin">
        <color rgb="FFDC3545"/>
      </left>
      <right style="thin">
        <color rgb="FFDC3545"/>
      </right>
      <top style="thin">
        <color rgb="FFDC3545"/>
      </top>
      <bottom style="thin">
        <color rgb="FFDC3545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 style="medium">
        <color rgb="FF0A1F66"/>
      </right>
      <top/>
      <bottom/>
      <diagonal/>
    </border>
    <border>
      <left style="medium">
        <color rgb="FF0A1F66"/>
      </left>
      <right style="medium">
        <color indexed="64"/>
      </right>
      <top/>
      <bottom/>
      <diagonal/>
    </border>
    <border>
      <left style="medium">
        <color indexed="64"/>
      </left>
      <right style="thin">
        <color rgb="FF0A1F66"/>
      </right>
      <top style="thin">
        <color rgb="FF0A1F66"/>
      </top>
      <bottom style="thin">
        <color rgb="FF0A1F66"/>
      </bottom>
      <diagonal/>
    </border>
    <border>
      <left style="medium">
        <color rgb="FF0A1F66"/>
      </left>
      <right style="medium">
        <color indexed="64"/>
      </right>
      <top style="thin">
        <color rgb="FF0A1F66"/>
      </top>
      <bottom style="thin">
        <color rgb="FF0A1F66"/>
      </bottom>
      <diagonal/>
    </border>
    <border>
      <left style="medium">
        <color indexed="64"/>
      </left>
      <right style="thin">
        <color rgb="FFE2E5F0"/>
      </right>
      <top style="thin">
        <color rgb="FFE2E5F0"/>
      </top>
      <bottom style="thin">
        <color rgb="FFE2E5F0"/>
      </bottom>
      <diagonal/>
    </border>
    <border>
      <left style="thin">
        <color rgb="FFE2E5F0"/>
      </left>
      <right style="medium">
        <color indexed="64"/>
      </right>
      <top style="thin">
        <color rgb="FFE2E5F0"/>
      </top>
      <bottom style="thin">
        <color rgb="FFE2E5F0"/>
      </bottom>
      <diagonal/>
    </border>
    <border>
      <left style="medium">
        <color indexed="64"/>
      </left>
      <right style="medium">
        <color rgb="FF0A1F66"/>
      </right>
      <top/>
      <bottom style="medium">
        <color indexed="64"/>
      </bottom>
      <diagonal/>
    </border>
    <border>
      <left style="medium">
        <color rgb="FF0A1F66"/>
      </left>
      <right style="medium">
        <color rgb="FF0A1F66"/>
      </right>
      <top/>
      <bottom style="medium">
        <color indexed="64"/>
      </bottom>
      <diagonal/>
    </border>
    <border>
      <left style="medium">
        <color rgb="FF0A1F66"/>
      </left>
      <right style="medium">
        <color indexed="64"/>
      </right>
      <top/>
      <bottom style="medium">
        <color indexed="64"/>
      </bottom>
      <diagonal/>
    </border>
  </borders>
  <cellStyleXfs count="1">
    <xf numFmtId="0" fontId="0" fillId="0" borderId="0"/>
  </cellStyleXfs>
  <cellXfs count="115">
    <xf numFmtId="0" fontId="0" fillId="0" borderId="0" xfId="0"/>
    <xf numFmtId="166" fontId="14" fillId="9" borderId="19" xfId="0" applyNumberFormat="1" applyFont="1" applyFill="1" applyBorder="1" applyAlignment="1">
      <alignment horizontal="left" vertical="center" indent="1"/>
    </xf>
    <xf numFmtId="165" fontId="14" fillId="9" borderId="18" xfId="0" applyNumberFormat="1" applyFont="1" applyFill="1" applyBorder="1" applyAlignment="1">
      <alignment horizontal="left" vertical="center" indent="1"/>
    </xf>
    <xf numFmtId="164" fontId="19" fillId="9" borderId="18" xfId="0" applyNumberFormat="1" applyFont="1" applyFill="1" applyBorder="1" applyAlignment="1">
      <alignment horizontal="left" vertical="center" indent="1"/>
    </xf>
    <xf numFmtId="164" fontId="18" fillId="9" borderId="17" xfId="0" applyNumberFormat="1" applyFont="1" applyFill="1" applyBorder="1" applyAlignment="1">
      <alignment horizontal="left" vertical="center" indent="1"/>
    </xf>
    <xf numFmtId="164" fontId="17" fillId="9" borderId="19" xfId="0" applyNumberFormat="1" applyFont="1" applyFill="1" applyBorder="1" applyAlignment="1">
      <alignment horizontal="left" vertical="center" indent="1"/>
    </xf>
    <xf numFmtId="164" fontId="16" fillId="9" borderId="18" xfId="0" applyNumberFormat="1" applyFont="1" applyFill="1" applyBorder="1" applyAlignment="1">
      <alignment horizontal="left" vertical="center" indent="1"/>
    </xf>
    <xf numFmtId="164" fontId="15" fillId="9" borderId="18" xfId="0" applyNumberFormat="1" applyFont="1" applyFill="1" applyBorder="1" applyAlignment="1">
      <alignment horizontal="left" vertical="center" indent="1"/>
    </xf>
    <xf numFmtId="164" fontId="14" fillId="9" borderId="17" xfId="0" applyNumberFormat="1" applyFont="1" applyFill="1" applyBorder="1" applyAlignment="1">
      <alignment horizontal="left" vertical="center" indent="1"/>
    </xf>
    <xf numFmtId="0" fontId="13" fillId="9" borderId="16" xfId="0" applyFont="1" applyFill="1" applyBorder="1" applyAlignment="1">
      <alignment horizontal="left" vertical="center" indent="1"/>
    </xf>
    <xf numFmtId="0" fontId="13" fillId="9" borderId="15" xfId="0" applyFont="1" applyFill="1" applyBorder="1" applyAlignment="1">
      <alignment horizontal="left" vertical="center" indent="1"/>
    </xf>
    <xf numFmtId="0" fontId="13" fillId="9" borderId="14" xfId="0" applyFont="1" applyFill="1" applyBorder="1" applyAlignment="1">
      <alignment horizontal="left" vertical="center" indent="1"/>
    </xf>
    <xf numFmtId="0" fontId="12" fillId="0" borderId="3" xfId="0" applyFont="1" applyBorder="1" applyAlignment="1">
      <alignment horizontal="left" vertical="center" wrapText="1"/>
    </xf>
    <xf numFmtId="0" fontId="11" fillId="5" borderId="3" xfId="0" applyFont="1" applyFill="1" applyBorder="1" applyAlignment="1">
      <alignment horizontal="left" vertical="center" indent="1"/>
    </xf>
    <xf numFmtId="0" fontId="10" fillId="5" borderId="8" xfId="0" applyFont="1" applyFill="1" applyBorder="1" applyAlignment="1">
      <alignment horizontal="left" vertical="center" indent="1"/>
    </xf>
    <xf numFmtId="0" fontId="0" fillId="0" borderId="1" xfId="0" applyBorder="1"/>
    <xf numFmtId="0" fontId="0" fillId="0" borderId="2" xfId="0" applyBorder="1"/>
    <xf numFmtId="0" fontId="0" fillId="3" borderId="9" xfId="0" applyFill="1" applyBorder="1"/>
    <xf numFmtId="0" fontId="0" fillId="3" borderId="10" xfId="0" applyFill="1" applyBorder="1"/>
    <xf numFmtId="0" fontId="0" fillId="3" borderId="11" xfId="0" applyFill="1" applyBorder="1"/>
    <xf numFmtId="0" fontId="0" fillId="6" borderId="12" xfId="0" applyFill="1" applyBorder="1"/>
    <xf numFmtId="0" fontId="0" fillId="6" borderId="10" xfId="0" applyFill="1" applyBorder="1"/>
    <xf numFmtId="0" fontId="0" fillId="6" borderId="11" xfId="0" applyFill="1" applyBorder="1"/>
    <xf numFmtId="0" fontId="0" fillId="7" borderId="12" xfId="0" applyFill="1" applyBorder="1"/>
    <xf numFmtId="0" fontId="0" fillId="7" borderId="10" xfId="0" applyFill="1" applyBorder="1"/>
    <xf numFmtId="0" fontId="0" fillId="7" borderId="11" xfId="0" applyFill="1" applyBorder="1"/>
    <xf numFmtId="0" fontId="0" fillId="8" borderId="12" xfId="0" applyFill="1" applyBorder="1"/>
    <xf numFmtId="0" fontId="0" fillId="8" borderId="10" xfId="0" applyFill="1" applyBorder="1"/>
    <xf numFmtId="0" fontId="0" fillId="8" borderId="13" xfId="0" applyFill="1" applyBorder="1"/>
    <xf numFmtId="0" fontId="0" fillId="10" borderId="9" xfId="0" applyFill="1" applyBorder="1"/>
    <xf numFmtId="0" fontId="0" fillId="10" borderId="10" xfId="0" applyFill="1" applyBorder="1"/>
    <xf numFmtId="0" fontId="0" fillId="10" borderId="11" xfId="0" applyFill="1" applyBorder="1"/>
    <xf numFmtId="0" fontId="0" fillId="11" borderId="12" xfId="0" applyFill="1" applyBorder="1"/>
    <xf numFmtId="0" fontId="0" fillId="11" borderId="10" xfId="0" applyFill="1" applyBorder="1"/>
    <xf numFmtId="0" fontId="0" fillId="11" borderId="11" xfId="0" applyFill="1" applyBorder="1"/>
    <xf numFmtId="0" fontId="0" fillId="2" borderId="12" xfId="0" applyFill="1" applyBorder="1"/>
    <xf numFmtId="0" fontId="0" fillId="2" borderId="10" xfId="0" applyFill="1" applyBorder="1"/>
    <xf numFmtId="0" fontId="0" fillId="2" borderId="11" xfId="0" applyFill="1" applyBorder="1"/>
    <xf numFmtId="0" fontId="0" fillId="2" borderId="13" xfId="0" applyFill="1" applyBorder="1"/>
    <xf numFmtId="0" fontId="0" fillId="7" borderId="9" xfId="0" applyFill="1" applyBorder="1"/>
    <xf numFmtId="0" fontId="0" fillId="10" borderId="12" xfId="0" applyFill="1" applyBorder="1"/>
    <xf numFmtId="0" fontId="20" fillId="0" borderId="0" xfId="0" applyFont="1" applyAlignment="1">
      <alignment horizontal="center" vertical="center" wrapText="1"/>
    </xf>
    <xf numFmtId="0" fontId="20" fillId="0" borderId="2" xfId="0" applyFont="1" applyBorder="1" applyAlignment="1">
      <alignment horizontal="center" vertical="center" wrapText="1"/>
    </xf>
    <xf numFmtId="0" fontId="21" fillId="5" borderId="20" xfId="0" applyFont="1" applyFill="1" applyBorder="1" applyAlignment="1">
      <alignment horizontal="center" vertical="center" wrapText="1"/>
    </xf>
    <xf numFmtId="0" fontId="21" fillId="5" borderId="21" xfId="0" applyFont="1" applyFill="1" applyBorder="1" applyAlignment="1">
      <alignment horizontal="center" vertical="center" wrapText="1"/>
    </xf>
    <xf numFmtId="0" fontId="21" fillId="5" borderId="22" xfId="0" applyFont="1" applyFill="1" applyBorder="1" applyAlignment="1">
      <alignment horizontal="center" vertical="center" wrapText="1"/>
    </xf>
    <xf numFmtId="0" fontId="7" fillId="12" borderId="5" xfId="0" applyFont="1" applyFill="1" applyBorder="1" applyAlignment="1">
      <alignment horizontal="left" vertical="center" indent="1"/>
    </xf>
    <xf numFmtId="0" fontId="22" fillId="12" borderId="6" xfId="0" applyFont="1" applyFill="1" applyBorder="1" applyAlignment="1">
      <alignment horizontal="left" vertical="center" indent="1"/>
    </xf>
    <xf numFmtId="0" fontId="5" fillId="12" borderId="6" xfId="0" applyFont="1" applyFill="1" applyBorder="1" applyAlignment="1">
      <alignment horizontal="left" vertical="center" indent="1"/>
    </xf>
    <xf numFmtId="0" fontId="13" fillId="12" borderId="6" xfId="0" applyFont="1" applyFill="1" applyBorder="1" applyAlignment="1">
      <alignment horizontal="left" vertical="center" indent="1"/>
    </xf>
    <xf numFmtId="14" fontId="7" fillId="13" borderId="6" xfId="0" applyNumberFormat="1" applyFont="1" applyFill="1" applyBorder="1" applyAlignment="1">
      <alignment horizontal="center" vertical="center" wrapText="1"/>
    </xf>
    <xf numFmtId="167" fontId="7" fillId="13" borderId="6" xfId="0" applyNumberFormat="1" applyFont="1" applyFill="1" applyBorder="1" applyAlignment="1">
      <alignment horizontal="right" vertical="center" indent="1"/>
    </xf>
    <xf numFmtId="14" fontId="2" fillId="13" borderId="6" xfId="0" applyNumberFormat="1" applyFont="1" applyFill="1" applyBorder="1" applyAlignment="1">
      <alignment horizontal="center" vertical="center" wrapText="1"/>
    </xf>
    <xf numFmtId="0" fontId="22" fillId="12" borderId="6" xfId="0" applyFont="1" applyFill="1" applyBorder="1" applyAlignment="1">
      <alignment horizontal="center" vertical="center" wrapText="1"/>
    </xf>
    <xf numFmtId="0" fontId="5" fillId="12" borderId="23" xfId="0" applyFont="1" applyFill="1" applyBorder="1" applyAlignment="1">
      <alignment horizontal="left" vertical="top" wrapText="1"/>
    </xf>
    <xf numFmtId="0" fontId="7" fillId="14" borderId="5" xfId="0" applyFont="1" applyFill="1" applyBorder="1" applyAlignment="1">
      <alignment horizontal="left" vertical="center" indent="1"/>
    </xf>
    <xf numFmtId="0" fontId="22" fillId="14" borderId="6" xfId="0" applyFont="1" applyFill="1" applyBorder="1" applyAlignment="1">
      <alignment horizontal="left" vertical="center" indent="1"/>
    </xf>
    <xf numFmtId="0" fontId="5" fillId="14" borderId="6" xfId="0" applyFont="1" applyFill="1" applyBorder="1" applyAlignment="1">
      <alignment horizontal="left" vertical="center" indent="1"/>
    </xf>
    <xf numFmtId="0" fontId="13" fillId="14" borderId="6" xfId="0" applyFont="1" applyFill="1" applyBorder="1" applyAlignment="1">
      <alignment horizontal="left" vertical="center" indent="1"/>
    </xf>
    <xf numFmtId="14" fontId="7" fillId="15" borderId="6" xfId="0" applyNumberFormat="1" applyFont="1" applyFill="1" applyBorder="1" applyAlignment="1">
      <alignment horizontal="center" vertical="center" wrapText="1"/>
    </xf>
    <xf numFmtId="167" fontId="7" fillId="15" borderId="6" xfId="0" applyNumberFormat="1" applyFont="1" applyFill="1" applyBorder="1" applyAlignment="1">
      <alignment horizontal="right" vertical="center" indent="1"/>
    </xf>
    <xf numFmtId="14" fontId="2" fillId="15" borderId="6" xfId="0" applyNumberFormat="1" applyFont="1" applyFill="1" applyBorder="1" applyAlignment="1">
      <alignment horizontal="center" vertical="center" wrapText="1"/>
    </xf>
    <xf numFmtId="0" fontId="22" fillId="14" borderId="6" xfId="0" applyFont="1" applyFill="1" applyBorder="1" applyAlignment="1">
      <alignment horizontal="center" vertical="center" wrapText="1"/>
    </xf>
    <xf numFmtId="0" fontId="5" fillId="14" borderId="23" xfId="0" applyFont="1" applyFill="1" applyBorder="1" applyAlignment="1">
      <alignment horizontal="left" vertical="top" wrapText="1"/>
    </xf>
    <xf numFmtId="166" fontId="16" fillId="9" borderId="17" xfId="0" applyNumberFormat="1" applyFont="1" applyFill="1" applyBorder="1" applyAlignment="1">
      <alignment horizontal="left" vertical="center" indent="1"/>
    </xf>
    <xf numFmtId="166" fontId="18" fillId="9" borderId="18" xfId="0" applyNumberFormat="1" applyFont="1" applyFill="1" applyBorder="1" applyAlignment="1">
      <alignment horizontal="left" vertical="center" indent="1"/>
    </xf>
    <xf numFmtId="166" fontId="19" fillId="9" borderId="18" xfId="0" applyNumberFormat="1" applyFont="1" applyFill="1" applyBorder="1" applyAlignment="1">
      <alignment horizontal="left" vertical="center" indent="1"/>
    </xf>
    <xf numFmtId="165" fontId="14" fillId="9" borderId="19" xfId="0" applyNumberFormat="1" applyFont="1" applyFill="1" applyBorder="1" applyAlignment="1">
      <alignment horizontal="left" vertical="center" indent="1"/>
    </xf>
    <xf numFmtId="0" fontId="8" fillId="0" borderId="7" xfId="0" applyFont="1" applyBorder="1" applyAlignment="1">
      <alignment horizontal="left" vertical="center" indent="1"/>
    </xf>
    <xf numFmtId="0" fontId="1" fillId="0" borderId="3" xfId="0" applyFont="1" applyBorder="1"/>
    <xf numFmtId="0" fontId="2" fillId="0" borderId="3" xfId="0" applyFont="1" applyBorder="1"/>
    <xf numFmtId="0" fontId="3" fillId="0" borderId="3" xfId="0" applyFont="1" applyBorder="1"/>
    <xf numFmtId="0" fontId="4" fillId="0" borderId="3" xfId="0" applyFont="1" applyBorder="1"/>
    <xf numFmtId="0" fontId="6" fillId="3" borderId="4" xfId="0" applyFont="1" applyFill="1" applyBorder="1" applyAlignment="1">
      <alignment horizontal="left" vertical="center" indent="1"/>
    </xf>
    <xf numFmtId="0" fontId="8" fillId="0" borderId="3" xfId="0" applyFont="1" applyBorder="1" applyAlignment="1">
      <alignment horizontal="left" vertical="center" indent="1"/>
    </xf>
    <xf numFmtId="0" fontId="12" fillId="0" borderId="1" xfId="0" applyFont="1" applyBorder="1" applyAlignment="1">
      <alignment horizontal="left" vertical="center" wrapText="1"/>
    </xf>
    <xf numFmtId="0" fontId="21" fillId="6" borderId="24" xfId="0" applyFont="1" applyFill="1" applyBorder="1" applyAlignment="1">
      <alignment horizontal="center" vertical="center" wrapText="1"/>
    </xf>
    <xf numFmtId="0" fontId="21" fillId="7" borderId="25" xfId="0" applyFont="1" applyFill="1" applyBorder="1" applyAlignment="1">
      <alignment horizontal="center" vertical="center" wrapText="1"/>
    </xf>
    <xf numFmtId="0" fontId="21" fillId="10" borderId="26" xfId="0" applyFont="1" applyFill="1" applyBorder="1" applyAlignment="1">
      <alignment horizontal="center" vertical="center" wrapText="1"/>
    </xf>
    <xf numFmtId="0" fontId="21" fillId="11" borderId="27" xfId="0" applyFont="1" applyFill="1" applyBorder="1" applyAlignment="1">
      <alignment horizontal="center" vertical="center" wrapText="1"/>
    </xf>
    <xf numFmtId="0" fontId="21" fillId="8" borderId="28" xfId="0" applyFont="1" applyFill="1" applyBorder="1" applyAlignment="1">
      <alignment horizontal="center" vertical="center" wrapText="1"/>
    </xf>
    <xf numFmtId="0" fontId="5" fillId="0" borderId="2" xfId="0" applyFont="1" applyBorder="1" applyAlignment="1">
      <alignment horizontal="left" vertical="center" wrapText="1"/>
    </xf>
    <xf numFmtId="0" fontId="5" fillId="4" borderId="6" xfId="0" applyFont="1" applyFill="1" applyBorder="1" applyAlignment="1">
      <alignment horizontal="left" vertical="center" wrapText="1"/>
    </xf>
    <xf numFmtId="0" fontId="24" fillId="4" borderId="5" xfId="0" applyFont="1" applyFill="1" applyBorder="1" applyAlignment="1">
      <alignment horizontal="left" vertical="center" indent="1"/>
    </xf>
    <xf numFmtId="0" fontId="25" fillId="0" borderId="3" xfId="0" applyFont="1" applyBorder="1" applyAlignment="1">
      <alignment horizontal="left" vertical="center" wrapText="1" indent="1"/>
    </xf>
    <xf numFmtId="0" fontId="0" fillId="0" borderId="29" xfId="0" applyBorder="1"/>
    <xf numFmtId="0" fontId="0" fillId="0" borderId="30" xfId="0" applyBorder="1"/>
    <xf numFmtId="0" fontId="0" fillId="0" borderId="31" xfId="0" applyBorder="1"/>
    <xf numFmtId="0" fontId="0" fillId="0" borderId="32" xfId="0" applyBorder="1"/>
    <xf numFmtId="0" fontId="0" fillId="0" borderId="0" xfId="0" applyBorder="1"/>
    <xf numFmtId="0" fontId="0" fillId="0" borderId="33" xfId="0" applyBorder="1"/>
    <xf numFmtId="0" fontId="1" fillId="0" borderId="34" xfId="0" applyFont="1" applyBorder="1"/>
    <xf numFmtId="0" fontId="1" fillId="0" borderId="35" xfId="0" applyFont="1" applyBorder="1"/>
    <xf numFmtId="0" fontId="2" fillId="0" borderId="34" xfId="0" applyFont="1" applyBorder="1"/>
    <xf numFmtId="0" fontId="2" fillId="0" borderId="35" xfId="0" applyFont="1" applyBorder="1"/>
    <xf numFmtId="0" fontId="3" fillId="0" borderId="34" xfId="0" applyFont="1" applyBorder="1"/>
    <xf numFmtId="0" fontId="3" fillId="0" borderId="35" xfId="0" applyFont="1" applyBorder="1"/>
    <xf numFmtId="0" fontId="0" fillId="2" borderId="32" xfId="0" applyFill="1" applyBorder="1"/>
    <xf numFmtId="0" fontId="0" fillId="2" borderId="0" xfId="0" applyFill="1" applyBorder="1"/>
    <xf numFmtId="0" fontId="0" fillId="2" borderId="33" xfId="0" applyFill="1" applyBorder="1"/>
    <xf numFmtId="0" fontId="4" fillId="0" borderId="34" xfId="0" applyFont="1" applyBorder="1"/>
    <xf numFmtId="0" fontId="4" fillId="0" borderId="35" xfId="0" applyFont="1" applyBorder="1"/>
    <xf numFmtId="0" fontId="23" fillId="0" borderId="32" xfId="0" applyFont="1" applyBorder="1" applyAlignment="1">
      <alignment horizontal="left" vertical="center" wrapText="1"/>
    </xf>
    <xf numFmtId="0" fontId="5" fillId="0" borderId="33" xfId="0" applyFont="1" applyBorder="1" applyAlignment="1">
      <alignment horizontal="left" vertical="center" wrapText="1"/>
    </xf>
    <xf numFmtId="0" fontId="6" fillId="3" borderId="36" xfId="0" applyFont="1" applyFill="1" applyBorder="1" applyAlignment="1">
      <alignment horizontal="left" vertical="center" indent="1"/>
    </xf>
    <xf numFmtId="0" fontId="6" fillId="3" borderId="37" xfId="0" applyFont="1" applyFill="1" applyBorder="1" applyAlignment="1">
      <alignment horizontal="left" vertical="center" indent="1"/>
    </xf>
    <xf numFmtId="0" fontId="25" fillId="0" borderId="34" xfId="0" applyFont="1" applyBorder="1" applyAlignment="1">
      <alignment horizontal="left" vertical="center" wrapText="1" indent="1"/>
    </xf>
    <xf numFmtId="0" fontId="25" fillId="0" borderId="35" xfId="0" applyFont="1" applyBorder="1" applyAlignment="1">
      <alignment horizontal="left" vertical="center" wrapText="1" indent="1"/>
    </xf>
    <xf numFmtId="0" fontId="24" fillId="4" borderId="38" xfId="0" applyFont="1" applyFill="1" applyBorder="1" applyAlignment="1">
      <alignment horizontal="left" vertical="center" indent="1"/>
    </xf>
    <xf numFmtId="0" fontId="5" fillId="4" borderId="39" xfId="0" applyFont="1" applyFill="1" applyBorder="1" applyAlignment="1">
      <alignment horizontal="left" vertical="center" wrapText="1"/>
    </xf>
    <xf numFmtId="0" fontId="8" fillId="0" borderId="34" xfId="0" applyFont="1" applyBorder="1" applyAlignment="1">
      <alignment horizontal="left" vertical="center" indent="1"/>
    </xf>
    <xf numFmtId="0" fontId="8" fillId="0" borderId="35" xfId="0" applyFont="1" applyBorder="1" applyAlignment="1">
      <alignment horizontal="left" vertical="center" indent="1"/>
    </xf>
    <xf numFmtId="0" fontId="9" fillId="0" borderId="40" xfId="0" applyFont="1" applyBorder="1" applyAlignment="1">
      <alignment horizontal="center" vertical="center" wrapText="1"/>
    </xf>
    <xf numFmtId="0" fontId="9" fillId="0" borderId="41" xfId="0" applyFont="1" applyBorder="1" applyAlignment="1">
      <alignment horizontal="center" vertical="center" wrapText="1"/>
    </xf>
    <xf numFmtId="0" fontId="9" fillId="0" borderId="42" xfId="0" applyFont="1" applyBorder="1" applyAlignment="1">
      <alignment horizontal="center" vertical="center" wrapText="1"/>
    </xf>
  </cellXfs>
  <cellStyles count="1">
    <cellStyle name="Normal" xfId="0" builtinId="0"/>
  </cellStyles>
  <dxfs count="11">
    <dxf>
      <font>
        <b/>
        <sz val="10"/>
        <color rgb="FFFFFFFF"/>
        <name val="Neue Montreal"/>
        <charset val="1"/>
      </font>
      <fill>
        <patternFill>
          <bgColor rgb="FF9F2231"/>
        </patternFill>
      </fill>
    </dxf>
    <dxf>
      <font>
        <b/>
        <sz val="10"/>
        <color rgb="FFFFFFFF"/>
        <name val="Neue Montreal"/>
        <charset val="1"/>
      </font>
      <fill>
        <patternFill>
          <bgColor rgb="FF1E7E34"/>
        </patternFill>
      </fill>
    </dxf>
    <dxf>
      <font>
        <b/>
        <sz val="10"/>
        <color rgb="FFFFFFFF"/>
        <name val="Neue Montreal"/>
        <charset val="1"/>
      </font>
      <fill>
        <patternFill>
          <bgColor rgb="FFC58A00"/>
        </patternFill>
      </fill>
    </dxf>
    <dxf>
      <font>
        <b/>
        <sz val="10"/>
        <color rgb="FFFFFFFF"/>
        <name val="Neue Montreal"/>
        <charset val="1"/>
      </font>
      <fill>
        <patternFill>
          <bgColor rgb="FF8B92A8"/>
        </patternFill>
      </fill>
    </dxf>
    <dxf>
      <font>
        <b/>
        <sz val="10"/>
        <color rgb="FFFFFFFF"/>
        <name val="Neue Montreal"/>
        <charset val="1"/>
      </font>
      <fill>
        <patternFill>
          <bgColor rgb="FFDC3545"/>
        </patternFill>
      </fill>
    </dxf>
    <dxf>
      <font>
        <b/>
        <sz val="10"/>
        <color rgb="FFDC3545"/>
        <name val="Neue Montreal"/>
        <charset val="1"/>
      </font>
    </dxf>
    <dxf>
      <fill>
        <patternFill>
          <bgColor rgb="FFFBEDEE"/>
        </patternFill>
      </fill>
    </dxf>
    <dxf>
      <fill>
        <patternFill>
          <bgColor rgb="FFEBF6EE"/>
        </patternFill>
      </fill>
    </dxf>
    <dxf>
      <fill>
        <patternFill>
          <bgColor rgb="FFFFF8E5"/>
        </patternFill>
      </fill>
    </dxf>
    <dxf>
      <fill>
        <patternFill>
          <bgColor rgb="FFF5F6F8"/>
        </patternFill>
      </fill>
    </dxf>
    <dxf>
      <fill>
        <patternFill>
          <bgColor rgb="FFFAE0E2"/>
        </patternFill>
      </fill>
    </dxf>
  </dxfs>
  <tableStyles count="0" defaultTableStyle="TableStyleMedium2" defaultPivotStyle="PivotStyleLight16"/>
  <colors>
    <indexedColors>
      <rgbColor rgb="FF000000"/>
      <rgbColor rgb="FFFFFFFF"/>
      <rgbColor rgb="FFFF0000"/>
      <rgbColor rgb="FF00FF00"/>
      <rgbColor rgb="FF0000FF"/>
      <rgbColor rgb="FFF7F8FB"/>
      <rgbColor rgb="FFFF00FF"/>
      <rgbColor rgb="FF00FFFF"/>
      <rgbColor rgb="FF800000"/>
      <rgbColor rgb="FF1E7E34"/>
      <rgbColor rgb="FF061344"/>
      <rgbColor rgb="FF808000"/>
      <rgbColor rgb="FF800080"/>
      <rgbColor rgb="FF008080"/>
      <rgbColor rgb="FFB8C0DD"/>
      <rgbColor rgb="FF555F7A"/>
      <rgbColor rgb="FF9CA3B5"/>
      <rgbColor rgb="FFDC3545"/>
      <rgbColor rgb="FFFFF8E5"/>
      <rgbColor rgb="FFEBF6EE"/>
      <rgbColor rgb="FF660066"/>
      <rgbColor rgb="FFFF8080"/>
      <rgbColor rgb="FF0066CC"/>
      <rgbColor rgb="FFDCE0EC"/>
      <rgbColor rgb="FF000080"/>
      <rgbColor rgb="FFFF00FF"/>
      <rgbColor rgb="FFFAFBFD"/>
      <rgbColor rgb="FF00FFFF"/>
      <rgbColor rgb="FF800080"/>
      <rgbColor rgb="FF800000"/>
      <rgbColor rgb="FF008080"/>
      <rgbColor rgb="FF0000FF"/>
      <rgbColor rgb="FF00CCFF"/>
      <rgbColor rgb="FFEDF0F6"/>
      <rgbColor rgb="FFE2E5F0"/>
      <rgbColor rgb="FFFBEDEE"/>
      <rgbColor rgb="FFF4F6FA"/>
      <rgbColor rgb="FFF5F6F8"/>
      <rgbColor rgb="FFF5F7FC"/>
      <rgbColor rgb="FFFAE0E2"/>
      <rgbColor rgb="FF2B4FFF"/>
      <rgbColor rgb="FF33CCCC"/>
      <rgbColor rgb="FF99CC00"/>
      <rgbColor rgb="FFFFCC00"/>
      <rgbColor rgb="FFC58A00"/>
      <rgbColor rgb="FFFF6600"/>
      <rgbColor rgb="FF6B7390"/>
      <rgbColor rgb="FF8B92A8"/>
      <rgbColor rgb="FF0A1F66"/>
      <rgbColor rgb="FF339966"/>
      <rgbColor rgb="FF003300"/>
      <rgbColor rgb="FF333300"/>
      <rgbColor rgb="FF9F2231"/>
      <rgbColor rgb="FF993366"/>
      <rgbColor rgb="FF333399"/>
      <rgbColor rgb="FF1A1F3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166688</xdr:colOff>
      <xdr:row>2</xdr:row>
      <xdr:rowOff>31750</xdr:rowOff>
    </xdr:from>
    <xdr:to>
      <xdr:col>2</xdr:col>
      <xdr:colOff>1134008</xdr:colOff>
      <xdr:row>4</xdr:row>
      <xdr:rowOff>145150</xdr:rowOff>
    </xdr:to>
    <xdr:pic>
      <xdr:nvPicPr>
        <xdr:cNvPr id="2" name="Image 1" descr="Picture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/>
      </xdr:nvPicPr>
      <xdr:blipFill>
        <a:blip xmlns:r="http://schemas.openxmlformats.org/officeDocument/2006/relationships" r:embed="rId1"/>
        <a:stretch/>
      </xdr:blipFill>
      <xdr:spPr>
        <a:xfrm>
          <a:off x="317501" y="492125"/>
          <a:ext cx="2189695" cy="653150"/>
        </a:xfrm>
        <a:prstGeom prst="rect">
          <a:avLst/>
        </a:prstGeom>
        <a:ln w="0">
          <a:noFill/>
        </a:ln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</a:majorFont>
      <a:minorFont>
        <a:latin typeface="Calibri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tabColor rgb="FFFF0000"/>
    <pageSetUpPr fitToPage="1"/>
  </sheetPr>
  <dimension ref="B2:BG498"/>
  <sheetViews>
    <sheetView showGridLines="0" tabSelected="1" zoomScale="160" zoomScaleNormal="160" workbookViewId="0">
      <selection activeCell="BK16" sqref="BK16"/>
    </sheetView>
  </sheetViews>
  <sheetFormatPr baseColWidth="10" defaultColWidth="8.6640625" defaultRowHeight="15" x14ac:dyDescent="0.2"/>
  <cols>
    <col min="1" max="1" width="2" customWidth="1"/>
    <col min="2" max="2" width="16" customWidth="1"/>
    <col min="3" max="3" width="18" customWidth="1"/>
    <col min="4" max="4" width="32" customWidth="1"/>
    <col min="5" max="5" width="18" customWidth="1"/>
    <col min="6" max="6" width="6" customWidth="1"/>
    <col min="7" max="7" width="14" customWidth="1"/>
    <col min="8" max="8" width="2" hidden="1" customWidth="1"/>
    <col min="9" max="59" width="13" hidden="1" customWidth="1"/>
  </cols>
  <sheetData>
    <row r="2" spans="2:7" ht="21.75" customHeight="1" x14ac:dyDescent="0.2">
      <c r="B2" s="85"/>
      <c r="C2" s="86"/>
      <c r="D2" s="86"/>
      <c r="E2" s="86"/>
      <c r="F2" s="86"/>
      <c r="G2" s="87"/>
    </row>
    <row r="3" spans="2:7" ht="21.75" customHeight="1" x14ac:dyDescent="0.2">
      <c r="B3" s="88"/>
      <c r="C3" s="89"/>
      <c r="D3" s="89"/>
      <c r="E3" s="89"/>
      <c r="F3" s="89"/>
      <c r="G3" s="90"/>
    </row>
    <row r="4" spans="2:7" ht="21.75" customHeight="1" x14ac:dyDescent="0.2">
      <c r="B4" s="88"/>
      <c r="C4" s="89"/>
      <c r="D4" s="89"/>
      <c r="E4" s="89"/>
      <c r="F4" s="89"/>
      <c r="G4" s="90"/>
    </row>
    <row r="5" spans="2:7" ht="21.75" customHeight="1" x14ac:dyDescent="0.2">
      <c r="B5" s="88"/>
      <c r="C5" s="89"/>
      <c r="D5" s="89"/>
      <c r="E5" s="89"/>
      <c r="F5" s="89"/>
      <c r="G5" s="90"/>
    </row>
    <row r="6" spans="2:7" ht="39.75" customHeight="1" x14ac:dyDescent="0.35">
      <c r="B6" s="91" t="s">
        <v>0</v>
      </c>
      <c r="C6" s="69"/>
      <c r="D6" s="69"/>
      <c r="E6" s="69"/>
      <c r="F6" s="69"/>
      <c r="G6" s="92"/>
    </row>
    <row r="7" spans="2:7" ht="15.75" customHeight="1" x14ac:dyDescent="0.2">
      <c r="B7" s="93" t="s">
        <v>1</v>
      </c>
      <c r="C7" s="70"/>
      <c r="D7" s="70"/>
      <c r="E7" s="70"/>
      <c r="F7" s="70"/>
      <c r="G7" s="94"/>
    </row>
    <row r="8" spans="2:7" ht="19.5" customHeight="1" x14ac:dyDescent="0.2">
      <c r="B8" s="95" t="s">
        <v>2</v>
      </c>
      <c r="C8" s="71"/>
      <c r="D8" s="71"/>
      <c r="E8" s="71"/>
      <c r="F8" s="71"/>
      <c r="G8" s="96"/>
    </row>
    <row r="9" spans="2:7" ht="3.75" customHeight="1" x14ac:dyDescent="0.2">
      <c r="B9" s="97"/>
      <c r="C9" s="98"/>
      <c r="D9" s="98"/>
      <c r="E9" s="98"/>
      <c r="F9" s="98"/>
      <c r="G9" s="99"/>
    </row>
    <row r="10" spans="2:7" ht="15" customHeight="1" x14ac:dyDescent="0.2">
      <c r="B10" s="88"/>
      <c r="C10" s="89"/>
      <c r="D10" s="89"/>
      <c r="E10" s="89"/>
      <c r="F10" s="89"/>
      <c r="G10" s="90"/>
    </row>
    <row r="11" spans="2:7" ht="21.75" customHeight="1" x14ac:dyDescent="0.2">
      <c r="B11" s="100" t="s">
        <v>3</v>
      </c>
      <c r="C11" s="72"/>
      <c r="D11" s="72"/>
      <c r="E11" s="72"/>
      <c r="F11" s="72"/>
      <c r="G11" s="101"/>
    </row>
    <row r="12" spans="2:7" ht="37.5" customHeight="1" x14ac:dyDescent="0.2">
      <c r="B12" s="102" t="s">
        <v>4</v>
      </c>
      <c r="C12" s="81" t="s">
        <v>5</v>
      </c>
      <c r="D12" s="81"/>
      <c r="E12" s="81"/>
      <c r="F12" s="81"/>
      <c r="G12" s="103"/>
    </row>
    <row r="13" spans="2:7" ht="37.5" customHeight="1" x14ac:dyDescent="0.2">
      <c r="B13" s="102" t="s">
        <v>6</v>
      </c>
      <c r="C13" s="81" t="s">
        <v>7</v>
      </c>
      <c r="D13" s="81"/>
      <c r="E13" s="81"/>
      <c r="F13" s="81"/>
      <c r="G13" s="103"/>
    </row>
    <row r="14" spans="2:7" ht="37.5" customHeight="1" x14ac:dyDescent="0.2">
      <c r="B14" s="102" t="s">
        <v>8</v>
      </c>
      <c r="C14" s="81" t="s">
        <v>9</v>
      </c>
      <c r="D14" s="81"/>
      <c r="E14" s="81"/>
      <c r="F14" s="81"/>
      <c r="G14" s="103"/>
    </row>
    <row r="15" spans="2:7" ht="37.5" customHeight="1" x14ac:dyDescent="0.2">
      <c r="B15" s="102" t="s">
        <v>10</v>
      </c>
      <c r="C15" s="81" t="s">
        <v>11</v>
      </c>
      <c r="D15" s="81"/>
      <c r="E15" s="81"/>
      <c r="F15" s="81"/>
      <c r="G15" s="103"/>
    </row>
    <row r="16" spans="2:7" ht="37.5" customHeight="1" x14ac:dyDescent="0.2">
      <c r="B16" s="102" t="s">
        <v>12</v>
      </c>
      <c r="C16" s="81" t="s">
        <v>13</v>
      </c>
      <c r="D16" s="81"/>
      <c r="E16" s="81"/>
      <c r="F16" s="81"/>
      <c r="G16" s="103"/>
    </row>
    <row r="17" spans="2:7" ht="37.5" customHeight="1" x14ac:dyDescent="0.2">
      <c r="B17" s="102" t="s">
        <v>14</v>
      </c>
      <c r="C17" s="81" t="s">
        <v>15</v>
      </c>
      <c r="D17" s="81"/>
      <c r="E17" s="81"/>
      <c r="F17" s="81"/>
      <c r="G17" s="103"/>
    </row>
    <row r="18" spans="2:7" ht="37.5" customHeight="1" x14ac:dyDescent="0.2">
      <c r="B18" s="102" t="s">
        <v>16</v>
      </c>
      <c r="C18" s="81" t="s">
        <v>17</v>
      </c>
      <c r="D18" s="81"/>
      <c r="E18" s="81"/>
      <c r="F18" s="81"/>
      <c r="G18" s="103"/>
    </row>
    <row r="19" spans="2:7" ht="15" customHeight="1" x14ac:dyDescent="0.2">
      <c r="B19" s="88"/>
      <c r="C19" s="89"/>
      <c r="D19" s="89"/>
      <c r="E19" s="89"/>
      <c r="F19" s="89"/>
      <c r="G19" s="90"/>
    </row>
    <row r="20" spans="2:7" ht="24" customHeight="1" x14ac:dyDescent="0.2">
      <c r="B20" s="104" t="s">
        <v>18</v>
      </c>
      <c r="C20" s="73"/>
      <c r="D20" s="73"/>
      <c r="E20" s="73"/>
      <c r="F20" s="73"/>
      <c r="G20" s="105"/>
    </row>
    <row r="21" spans="2:7" ht="31.5" customHeight="1" x14ac:dyDescent="0.2">
      <c r="B21" s="106" t="s">
        <v>19</v>
      </c>
      <c r="C21" s="84"/>
      <c r="D21" s="84"/>
      <c r="E21" s="84"/>
      <c r="F21" s="84"/>
      <c r="G21" s="107"/>
    </row>
    <row r="22" spans="2:7" ht="31.5" customHeight="1" x14ac:dyDescent="0.2">
      <c r="B22" s="108" t="s">
        <v>20</v>
      </c>
      <c r="C22" s="83"/>
      <c r="D22" s="82" t="s">
        <v>21</v>
      </c>
      <c r="E22" s="82"/>
      <c r="F22" s="82"/>
      <c r="G22" s="109"/>
    </row>
    <row r="23" spans="2:7" ht="31.5" customHeight="1" x14ac:dyDescent="0.2">
      <c r="B23" s="108" t="s">
        <v>22</v>
      </c>
      <c r="C23" s="83"/>
      <c r="D23" s="82" t="s">
        <v>23</v>
      </c>
      <c r="E23" s="82"/>
      <c r="F23" s="82"/>
      <c r="G23" s="109"/>
    </row>
    <row r="24" spans="2:7" ht="31.5" customHeight="1" x14ac:dyDescent="0.2">
      <c r="B24" s="108" t="s">
        <v>24</v>
      </c>
      <c r="C24" s="83"/>
      <c r="D24" s="82" t="s">
        <v>25</v>
      </c>
      <c r="E24" s="82"/>
      <c r="F24" s="82"/>
      <c r="G24" s="109"/>
    </row>
    <row r="25" spans="2:7" ht="15" customHeight="1" x14ac:dyDescent="0.2">
      <c r="B25" s="88"/>
      <c r="C25" s="89"/>
      <c r="D25" s="89"/>
      <c r="E25" s="89"/>
      <c r="F25" s="89"/>
      <c r="G25" s="90"/>
    </row>
    <row r="26" spans="2:7" ht="18" customHeight="1" x14ac:dyDescent="0.2">
      <c r="B26" s="110" t="s">
        <v>26</v>
      </c>
      <c r="C26" s="74"/>
      <c r="D26" s="74"/>
      <c r="E26" s="74"/>
      <c r="F26" s="74"/>
      <c r="G26" s="111"/>
    </row>
    <row r="27" spans="2:7" ht="15" customHeight="1" x14ac:dyDescent="0.2">
      <c r="B27" s="88"/>
      <c r="C27" s="89"/>
      <c r="D27" s="89"/>
      <c r="E27" s="89"/>
      <c r="F27" s="89"/>
      <c r="G27" s="90"/>
    </row>
    <row r="28" spans="2:7" ht="15" customHeight="1" x14ac:dyDescent="0.2">
      <c r="B28" s="112" t="s">
        <v>27</v>
      </c>
      <c r="C28" s="113"/>
      <c r="D28" s="113"/>
      <c r="E28" s="113"/>
      <c r="F28" s="113"/>
      <c r="G28" s="114"/>
    </row>
    <row r="29" spans="2:7" ht="15" hidden="1" customHeight="1" x14ac:dyDescent="0.2"/>
    <row r="30" spans="2:7" ht="15" hidden="1" customHeight="1" x14ac:dyDescent="0.2"/>
    <row r="31" spans="2:7" ht="15" hidden="1" customHeight="1" x14ac:dyDescent="0.2"/>
    <row r="32" spans="2:7" ht="15" hidden="1" customHeight="1" x14ac:dyDescent="0.2"/>
    <row r="33" ht="15" hidden="1" customHeight="1" x14ac:dyDescent="0.2"/>
    <row r="34" ht="15" hidden="1" customHeight="1" x14ac:dyDescent="0.2"/>
    <row r="35" ht="15" hidden="1" customHeight="1" x14ac:dyDescent="0.2"/>
    <row r="36" ht="15" hidden="1" customHeight="1" x14ac:dyDescent="0.2"/>
    <row r="37" ht="15" hidden="1" customHeight="1" x14ac:dyDescent="0.2"/>
    <row r="38" ht="15" hidden="1" customHeight="1" x14ac:dyDescent="0.2"/>
    <row r="39" ht="15" hidden="1" customHeight="1" x14ac:dyDescent="0.2"/>
    <row r="40" ht="15" hidden="1" customHeight="1" x14ac:dyDescent="0.2"/>
    <row r="41" ht="15" hidden="1" customHeight="1" x14ac:dyDescent="0.2"/>
    <row r="42" ht="15" hidden="1" customHeight="1" x14ac:dyDescent="0.2"/>
    <row r="43" ht="15" hidden="1" customHeight="1" x14ac:dyDescent="0.2"/>
    <row r="44" ht="15" hidden="1" customHeight="1" x14ac:dyDescent="0.2"/>
    <row r="45" ht="15" hidden="1" customHeight="1" x14ac:dyDescent="0.2"/>
    <row r="46" ht="15" hidden="1" customHeight="1" x14ac:dyDescent="0.2"/>
    <row r="47" ht="15" hidden="1" customHeight="1" x14ac:dyDescent="0.2"/>
    <row r="48" ht="15" hidden="1" customHeight="1" x14ac:dyDescent="0.2"/>
    <row r="49" ht="15" hidden="1" customHeight="1" x14ac:dyDescent="0.2"/>
    <row r="50" ht="15" hidden="1" customHeight="1" x14ac:dyDescent="0.2"/>
    <row r="51" ht="15" hidden="1" customHeight="1" x14ac:dyDescent="0.2"/>
    <row r="52" ht="15" hidden="1" customHeight="1" x14ac:dyDescent="0.2"/>
    <row r="53" ht="15" hidden="1" customHeight="1" x14ac:dyDescent="0.2"/>
    <row r="54" ht="15" hidden="1" customHeight="1" x14ac:dyDescent="0.2"/>
    <row r="55" ht="15" hidden="1" customHeight="1" x14ac:dyDescent="0.2"/>
    <row r="56" ht="15" hidden="1" customHeight="1" x14ac:dyDescent="0.2"/>
    <row r="57" ht="15" hidden="1" customHeight="1" x14ac:dyDescent="0.2"/>
    <row r="58" ht="15" hidden="1" customHeight="1" x14ac:dyDescent="0.2"/>
    <row r="59" ht="15" hidden="1" customHeight="1" x14ac:dyDescent="0.2"/>
    <row r="60" ht="15" hidden="1" customHeight="1" x14ac:dyDescent="0.2"/>
    <row r="61" ht="15" hidden="1" customHeight="1" x14ac:dyDescent="0.2"/>
    <row r="62" ht="15" hidden="1" customHeight="1" x14ac:dyDescent="0.2"/>
    <row r="63" ht="15" hidden="1" customHeight="1" x14ac:dyDescent="0.2"/>
    <row r="64" ht="15" hidden="1" customHeight="1" x14ac:dyDescent="0.2"/>
    <row r="65" ht="15" hidden="1" customHeight="1" x14ac:dyDescent="0.2"/>
    <row r="66" ht="15" hidden="1" customHeight="1" x14ac:dyDescent="0.2"/>
    <row r="67" ht="15" hidden="1" customHeight="1" x14ac:dyDescent="0.2"/>
    <row r="68" ht="15" hidden="1" customHeight="1" x14ac:dyDescent="0.2"/>
    <row r="69" ht="15" hidden="1" customHeight="1" x14ac:dyDescent="0.2"/>
    <row r="70" ht="15" hidden="1" customHeight="1" x14ac:dyDescent="0.2"/>
    <row r="71" ht="15" hidden="1" customHeight="1" x14ac:dyDescent="0.2"/>
    <row r="72" ht="15" hidden="1" customHeight="1" x14ac:dyDescent="0.2"/>
    <row r="73" ht="15" hidden="1" customHeight="1" x14ac:dyDescent="0.2"/>
    <row r="74" ht="15" hidden="1" customHeight="1" x14ac:dyDescent="0.2"/>
    <row r="75" ht="15" hidden="1" customHeight="1" x14ac:dyDescent="0.2"/>
    <row r="76" ht="15" hidden="1" customHeight="1" x14ac:dyDescent="0.2"/>
    <row r="77" ht="15" hidden="1" customHeight="1" x14ac:dyDescent="0.2"/>
    <row r="78" ht="15" hidden="1" customHeight="1" x14ac:dyDescent="0.2"/>
    <row r="79" ht="15" hidden="1" customHeight="1" x14ac:dyDescent="0.2"/>
    <row r="80" ht="15" hidden="1" customHeight="1" x14ac:dyDescent="0.2"/>
    <row r="81" ht="15" hidden="1" customHeight="1" x14ac:dyDescent="0.2"/>
    <row r="82" ht="15" hidden="1" customHeight="1" x14ac:dyDescent="0.2"/>
    <row r="83" ht="15" hidden="1" customHeight="1" x14ac:dyDescent="0.2"/>
    <row r="84" ht="15" hidden="1" customHeight="1" x14ac:dyDescent="0.2"/>
    <row r="85" ht="15" hidden="1" customHeight="1" x14ac:dyDescent="0.2"/>
    <row r="86" ht="15" hidden="1" customHeight="1" x14ac:dyDescent="0.2"/>
    <row r="87" ht="15" hidden="1" customHeight="1" x14ac:dyDescent="0.2"/>
    <row r="88" ht="15" hidden="1" customHeight="1" x14ac:dyDescent="0.2"/>
    <row r="89" ht="15" hidden="1" customHeight="1" x14ac:dyDescent="0.2"/>
    <row r="90" ht="15" hidden="1" customHeight="1" x14ac:dyDescent="0.2"/>
    <row r="91" ht="15" hidden="1" customHeight="1" x14ac:dyDescent="0.2"/>
    <row r="92" ht="15" hidden="1" customHeight="1" x14ac:dyDescent="0.2"/>
    <row r="93" ht="15" hidden="1" customHeight="1" x14ac:dyDescent="0.2"/>
    <row r="94" ht="15" hidden="1" customHeight="1" x14ac:dyDescent="0.2"/>
    <row r="95" ht="15" hidden="1" customHeight="1" x14ac:dyDescent="0.2"/>
    <row r="96" ht="15" hidden="1" customHeight="1" x14ac:dyDescent="0.2"/>
    <row r="97" ht="15" hidden="1" customHeight="1" x14ac:dyDescent="0.2"/>
    <row r="98" ht="15" hidden="1" customHeight="1" x14ac:dyDescent="0.2"/>
    <row r="99" ht="15" hidden="1" customHeight="1" x14ac:dyDescent="0.2"/>
    <row r="100" ht="15" hidden="1" customHeight="1" x14ac:dyDescent="0.2"/>
    <row r="101" ht="15" hidden="1" customHeight="1" x14ac:dyDescent="0.2"/>
    <row r="102" ht="15" hidden="1" customHeight="1" x14ac:dyDescent="0.2"/>
    <row r="103" ht="15" hidden="1" customHeight="1" x14ac:dyDescent="0.2"/>
    <row r="104" ht="15" hidden="1" customHeight="1" x14ac:dyDescent="0.2"/>
    <row r="105" ht="15" hidden="1" customHeight="1" x14ac:dyDescent="0.2"/>
    <row r="106" ht="15" hidden="1" customHeight="1" x14ac:dyDescent="0.2"/>
    <row r="107" ht="15" hidden="1" customHeight="1" x14ac:dyDescent="0.2"/>
    <row r="108" ht="15" hidden="1" customHeight="1" x14ac:dyDescent="0.2"/>
    <row r="109" ht="15" hidden="1" customHeight="1" x14ac:dyDescent="0.2"/>
    <row r="110" ht="15" hidden="1" customHeight="1" x14ac:dyDescent="0.2"/>
    <row r="111" ht="15" hidden="1" customHeight="1" x14ac:dyDescent="0.2"/>
    <row r="112" ht="15" hidden="1" customHeight="1" x14ac:dyDescent="0.2"/>
    <row r="113" ht="15" hidden="1" customHeight="1" x14ac:dyDescent="0.2"/>
    <row r="114" ht="15" hidden="1" customHeight="1" x14ac:dyDescent="0.2"/>
    <row r="115" ht="15" hidden="1" customHeight="1" x14ac:dyDescent="0.2"/>
    <row r="116" ht="15" hidden="1" customHeight="1" x14ac:dyDescent="0.2"/>
    <row r="117" ht="15" hidden="1" customHeight="1" x14ac:dyDescent="0.2"/>
    <row r="118" ht="15" hidden="1" customHeight="1" x14ac:dyDescent="0.2"/>
    <row r="119" ht="15" hidden="1" customHeight="1" x14ac:dyDescent="0.2"/>
    <row r="120" ht="15" hidden="1" customHeight="1" x14ac:dyDescent="0.2"/>
    <row r="121" ht="15" hidden="1" customHeight="1" x14ac:dyDescent="0.2"/>
    <row r="122" ht="15" hidden="1" customHeight="1" x14ac:dyDescent="0.2"/>
    <row r="123" ht="15" hidden="1" customHeight="1" x14ac:dyDescent="0.2"/>
    <row r="124" ht="15" hidden="1" customHeight="1" x14ac:dyDescent="0.2"/>
    <row r="125" ht="15" hidden="1" customHeight="1" x14ac:dyDescent="0.2"/>
    <row r="126" ht="15" hidden="1" customHeight="1" x14ac:dyDescent="0.2"/>
    <row r="127" ht="15" hidden="1" customHeight="1" x14ac:dyDescent="0.2"/>
    <row r="128" ht="15" hidden="1" customHeight="1" x14ac:dyDescent="0.2"/>
    <row r="129" ht="15" hidden="1" customHeight="1" x14ac:dyDescent="0.2"/>
    <row r="130" ht="15" hidden="1" customHeight="1" x14ac:dyDescent="0.2"/>
    <row r="131" ht="15" hidden="1" customHeight="1" x14ac:dyDescent="0.2"/>
    <row r="132" ht="15" hidden="1" customHeight="1" x14ac:dyDescent="0.2"/>
    <row r="133" ht="15" hidden="1" customHeight="1" x14ac:dyDescent="0.2"/>
    <row r="134" ht="15" hidden="1" customHeight="1" x14ac:dyDescent="0.2"/>
    <row r="135" ht="15" hidden="1" customHeight="1" x14ac:dyDescent="0.2"/>
    <row r="136" ht="15" hidden="1" customHeight="1" x14ac:dyDescent="0.2"/>
    <row r="137" ht="15" hidden="1" customHeight="1" x14ac:dyDescent="0.2"/>
    <row r="138" ht="15" hidden="1" customHeight="1" x14ac:dyDescent="0.2"/>
    <row r="139" ht="15" hidden="1" customHeight="1" x14ac:dyDescent="0.2"/>
    <row r="140" ht="15" hidden="1" customHeight="1" x14ac:dyDescent="0.2"/>
    <row r="141" ht="15" hidden="1" customHeight="1" x14ac:dyDescent="0.2"/>
    <row r="142" ht="15" hidden="1" customHeight="1" x14ac:dyDescent="0.2"/>
    <row r="143" ht="15" hidden="1" customHeight="1" x14ac:dyDescent="0.2"/>
    <row r="144" ht="15" hidden="1" customHeight="1" x14ac:dyDescent="0.2"/>
    <row r="145" ht="15" hidden="1" customHeight="1" x14ac:dyDescent="0.2"/>
    <row r="146" ht="15" hidden="1" customHeight="1" x14ac:dyDescent="0.2"/>
    <row r="147" ht="15" hidden="1" customHeight="1" x14ac:dyDescent="0.2"/>
    <row r="148" ht="15" hidden="1" customHeight="1" x14ac:dyDescent="0.2"/>
    <row r="149" ht="15" hidden="1" customHeight="1" x14ac:dyDescent="0.2"/>
    <row r="150" ht="15" hidden="1" customHeight="1" x14ac:dyDescent="0.2"/>
    <row r="151" ht="15" hidden="1" customHeight="1" x14ac:dyDescent="0.2"/>
    <row r="152" ht="15" hidden="1" customHeight="1" x14ac:dyDescent="0.2"/>
    <row r="153" ht="15" hidden="1" customHeight="1" x14ac:dyDescent="0.2"/>
    <row r="154" ht="15" hidden="1" customHeight="1" x14ac:dyDescent="0.2"/>
    <row r="155" ht="15" hidden="1" customHeight="1" x14ac:dyDescent="0.2"/>
    <row r="156" ht="15" hidden="1" customHeight="1" x14ac:dyDescent="0.2"/>
    <row r="157" ht="15" hidden="1" customHeight="1" x14ac:dyDescent="0.2"/>
    <row r="158" ht="15" hidden="1" customHeight="1" x14ac:dyDescent="0.2"/>
    <row r="159" ht="15" hidden="1" customHeight="1" x14ac:dyDescent="0.2"/>
    <row r="160" ht="15" hidden="1" customHeight="1" x14ac:dyDescent="0.2"/>
    <row r="161" ht="15" hidden="1" customHeight="1" x14ac:dyDescent="0.2"/>
    <row r="162" ht="15" hidden="1" customHeight="1" x14ac:dyDescent="0.2"/>
    <row r="163" ht="15" hidden="1" customHeight="1" x14ac:dyDescent="0.2"/>
    <row r="164" ht="15" hidden="1" customHeight="1" x14ac:dyDescent="0.2"/>
    <row r="165" ht="15" hidden="1" customHeight="1" x14ac:dyDescent="0.2"/>
    <row r="166" ht="15" hidden="1" customHeight="1" x14ac:dyDescent="0.2"/>
    <row r="167" ht="15" hidden="1" customHeight="1" x14ac:dyDescent="0.2"/>
    <row r="168" ht="15" hidden="1" customHeight="1" x14ac:dyDescent="0.2"/>
    <row r="169" ht="15" hidden="1" customHeight="1" x14ac:dyDescent="0.2"/>
    <row r="170" ht="15" hidden="1" customHeight="1" x14ac:dyDescent="0.2"/>
    <row r="171" ht="15" hidden="1" customHeight="1" x14ac:dyDescent="0.2"/>
    <row r="172" ht="15" hidden="1" customHeight="1" x14ac:dyDescent="0.2"/>
    <row r="173" ht="15" hidden="1" customHeight="1" x14ac:dyDescent="0.2"/>
    <row r="174" ht="15" hidden="1" customHeight="1" x14ac:dyDescent="0.2"/>
    <row r="175" ht="15" hidden="1" customHeight="1" x14ac:dyDescent="0.2"/>
    <row r="176" ht="15" hidden="1" customHeight="1" x14ac:dyDescent="0.2"/>
    <row r="177" ht="15" hidden="1" customHeight="1" x14ac:dyDescent="0.2"/>
    <row r="178" ht="15" hidden="1" customHeight="1" x14ac:dyDescent="0.2"/>
    <row r="179" ht="15" hidden="1" customHeight="1" x14ac:dyDescent="0.2"/>
    <row r="180" ht="15" hidden="1" customHeight="1" x14ac:dyDescent="0.2"/>
    <row r="181" ht="15" hidden="1" customHeight="1" x14ac:dyDescent="0.2"/>
    <row r="182" ht="15" hidden="1" customHeight="1" x14ac:dyDescent="0.2"/>
    <row r="183" ht="15" hidden="1" customHeight="1" x14ac:dyDescent="0.2"/>
    <row r="184" ht="15" hidden="1" customHeight="1" x14ac:dyDescent="0.2"/>
    <row r="185" ht="15" hidden="1" customHeight="1" x14ac:dyDescent="0.2"/>
    <row r="186" ht="15" hidden="1" customHeight="1" x14ac:dyDescent="0.2"/>
    <row r="187" ht="15" hidden="1" customHeight="1" x14ac:dyDescent="0.2"/>
    <row r="188" ht="15" hidden="1" customHeight="1" x14ac:dyDescent="0.2"/>
    <row r="189" ht="15" hidden="1" customHeight="1" x14ac:dyDescent="0.2"/>
    <row r="190" ht="15" hidden="1" customHeight="1" x14ac:dyDescent="0.2"/>
    <row r="191" ht="15" hidden="1" customHeight="1" x14ac:dyDescent="0.2"/>
    <row r="192" ht="15" hidden="1" customHeight="1" x14ac:dyDescent="0.2"/>
    <row r="193" ht="15" hidden="1" customHeight="1" x14ac:dyDescent="0.2"/>
    <row r="194" ht="15" hidden="1" customHeight="1" x14ac:dyDescent="0.2"/>
    <row r="195" ht="15" hidden="1" customHeight="1" x14ac:dyDescent="0.2"/>
    <row r="196" ht="15" hidden="1" customHeight="1" x14ac:dyDescent="0.2"/>
    <row r="197" ht="15" hidden="1" customHeight="1" x14ac:dyDescent="0.2"/>
    <row r="198" ht="15" hidden="1" customHeight="1" x14ac:dyDescent="0.2"/>
    <row r="199" ht="15" hidden="1" customHeight="1" x14ac:dyDescent="0.2"/>
    <row r="200" ht="15" hidden="1" customHeight="1" x14ac:dyDescent="0.2"/>
    <row r="201" ht="15" hidden="1" customHeight="1" x14ac:dyDescent="0.2"/>
    <row r="202" ht="15" hidden="1" customHeight="1" x14ac:dyDescent="0.2"/>
    <row r="203" ht="15" hidden="1" customHeight="1" x14ac:dyDescent="0.2"/>
    <row r="204" ht="15" hidden="1" customHeight="1" x14ac:dyDescent="0.2"/>
    <row r="205" ht="15" hidden="1" customHeight="1" x14ac:dyDescent="0.2"/>
    <row r="206" ht="15" hidden="1" customHeight="1" x14ac:dyDescent="0.2"/>
    <row r="207" ht="15" hidden="1" customHeight="1" x14ac:dyDescent="0.2"/>
    <row r="208" ht="15" hidden="1" customHeight="1" x14ac:dyDescent="0.2"/>
    <row r="209" ht="15" hidden="1" customHeight="1" x14ac:dyDescent="0.2"/>
    <row r="210" ht="15" hidden="1" customHeight="1" x14ac:dyDescent="0.2"/>
    <row r="211" ht="15" hidden="1" customHeight="1" x14ac:dyDescent="0.2"/>
    <row r="212" ht="15" hidden="1" customHeight="1" x14ac:dyDescent="0.2"/>
    <row r="213" ht="15" hidden="1" customHeight="1" x14ac:dyDescent="0.2"/>
    <row r="214" ht="15" hidden="1" customHeight="1" x14ac:dyDescent="0.2"/>
    <row r="215" ht="15" hidden="1" customHeight="1" x14ac:dyDescent="0.2"/>
    <row r="216" ht="15" hidden="1" customHeight="1" x14ac:dyDescent="0.2"/>
    <row r="217" ht="15" hidden="1" customHeight="1" x14ac:dyDescent="0.2"/>
    <row r="218" ht="15" hidden="1" customHeight="1" x14ac:dyDescent="0.2"/>
    <row r="219" ht="15" hidden="1" customHeight="1" x14ac:dyDescent="0.2"/>
    <row r="220" ht="15" hidden="1" customHeight="1" x14ac:dyDescent="0.2"/>
    <row r="221" ht="15" hidden="1" customHeight="1" x14ac:dyDescent="0.2"/>
    <row r="222" ht="15" hidden="1" customHeight="1" x14ac:dyDescent="0.2"/>
    <row r="223" ht="15" hidden="1" customHeight="1" x14ac:dyDescent="0.2"/>
    <row r="224" ht="15" hidden="1" customHeight="1" x14ac:dyDescent="0.2"/>
    <row r="225" ht="15" hidden="1" customHeight="1" x14ac:dyDescent="0.2"/>
    <row r="226" ht="15" hidden="1" customHeight="1" x14ac:dyDescent="0.2"/>
    <row r="227" ht="15" hidden="1" customHeight="1" x14ac:dyDescent="0.2"/>
    <row r="228" ht="15" hidden="1" customHeight="1" x14ac:dyDescent="0.2"/>
    <row r="229" ht="15" hidden="1" customHeight="1" x14ac:dyDescent="0.2"/>
    <row r="230" ht="15" hidden="1" customHeight="1" x14ac:dyDescent="0.2"/>
    <row r="231" ht="15" hidden="1" customHeight="1" x14ac:dyDescent="0.2"/>
    <row r="232" ht="15" hidden="1" customHeight="1" x14ac:dyDescent="0.2"/>
    <row r="233" ht="15" hidden="1" customHeight="1" x14ac:dyDescent="0.2"/>
    <row r="234" ht="15" hidden="1" customHeight="1" x14ac:dyDescent="0.2"/>
    <row r="235" ht="15" hidden="1" customHeight="1" x14ac:dyDescent="0.2"/>
    <row r="236" ht="15" hidden="1" customHeight="1" x14ac:dyDescent="0.2"/>
    <row r="237" ht="15" hidden="1" customHeight="1" x14ac:dyDescent="0.2"/>
    <row r="238" ht="15" hidden="1" customHeight="1" x14ac:dyDescent="0.2"/>
    <row r="239" ht="15" hidden="1" customHeight="1" x14ac:dyDescent="0.2"/>
    <row r="240" ht="15" hidden="1" customHeight="1" x14ac:dyDescent="0.2"/>
    <row r="241" ht="15" hidden="1" customHeight="1" x14ac:dyDescent="0.2"/>
    <row r="242" ht="15" hidden="1" customHeight="1" x14ac:dyDescent="0.2"/>
    <row r="243" ht="15" hidden="1" customHeight="1" x14ac:dyDescent="0.2"/>
    <row r="244" ht="15" hidden="1" customHeight="1" x14ac:dyDescent="0.2"/>
    <row r="245" ht="15" hidden="1" customHeight="1" x14ac:dyDescent="0.2"/>
    <row r="246" ht="15" hidden="1" customHeight="1" x14ac:dyDescent="0.2"/>
    <row r="247" ht="15" hidden="1" customHeight="1" x14ac:dyDescent="0.2"/>
    <row r="248" ht="15" hidden="1" customHeight="1" x14ac:dyDescent="0.2"/>
    <row r="249" ht="15" hidden="1" customHeight="1" x14ac:dyDescent="0.2"/>
    <row r="250" ht="15" hidden="1" customHeight="1" x14ac:dyDescent="0.2"/>
    <row r="251" ht="15" hidden="1" customHeight="1" x14ac:dyDescent="0.2"/>
    <row r="252" ht="15" hidden="1" customHeight="1" x14ac:dyDescent="0.2"/>
    <row r="253" ht="15" hidden="1" customHeight="1" x14ac:dyDescent="0.2"/>
    <row r="254" ht="15" hidden="1" customHeight="1" x14ac:dyDescent="0.2"/>
    <row r="255" ht="15" hidden="1" customHeight="1" x14ac:dyDescent="0.2"/>
    <row r="256" ht="15" hidden="1" customHeight="1" x14ac:dyDescent="0.2"/>
    <row r="257" ht="15" hidden="1" customHeight="1" x14ac:dyDescent="0.2"/>
    <row r="258" ht="15" hidden="1" customHeight="1" x14ac:dyDescent="0.2"/>
    <row r="259" ht="15" hidden="1" customHeight="1" x14ac:dyDescent="0.2"/>
    <row r="260" ht="15" hidden="1" customHeight="1" x14ac:dyDescent="0.2"/>
    <row r="261" ht="15" hidden="1" customHeight="1" x14ac:dyDescent="0.2"/>
    <row r="262" ht="15" hidden="1" customHeight="1" x14ac:dyDescent="0.2"/>
    <row r="263" ht="15" hidden="1" customHeight="1" x14ac:dyDescent="0.2"/>
    <row r="264" ht="15" hidden="1" customHeight="1" x14ac:dyDescent="0.2"/>
    <row r="265" ht="15" hidden="1" customHeight="1" x14ac:dyDescent="0.2"/>
    <row r="266" ht="15" hidden="1" customHeight="1" x14ac:dyDescent="0.2"/>
    <row r="267" ht="15" hidden="1" customHeight="1" x14ac:dyDescent="0.2"/>
    <row r="268" ht="15" hidden="1" customHeight="1" x14ac:dyDescent="0.2"/>
    <row r="269" ht="15" hidden="1" customHeight="1" x14ac:dyDescent="0.2"/>
    <row r="270" ht="15" hidden="1" customHeight="1" x14ac:dyDescent="0.2"/>
    <row r="271" ht="15" hidden="1" customHeight="1" x14ac:dyDescent="0.2"/>
    <row r="272" ht="15" hidden="1" customHeight="1" x14ac:dyDescent="0.2"/>
    <row r="273" ht="15" hidden="1" customHeight="1" x14ac:dyDescent="0.2"/>
    <row r="274" ht="15" hidden="1" customHeight="1" x14ac:dyDescent="0.2"/>
    <row r="275" ht="15" hidden="1" customHeight="1" x14ac:dyDescent="0.2"/>
    <row r="276" ht="15" hidden="1" customHeight="1" x14ac:dyDescent="0.2"/>
    <row r="277" ht="15" hidden="1" customHeight="1" x14ac:dyDescent="0.2"/>
    <row r="278" ht="15" hidden="1" customHeight="1" x14ac:dyDescent="0.2"/>
    <row r="279" ht="15" hidden="1" customHeight="1" x14ac:dyDescent="0.2"/>
    <row r="280" ht="15" hidden="1" customHeight="1" x14ac:dyDescent="0.2"/>
    <row r="281" ht="15" hidden="1" customHeight="1" x14ac:dyDescent="0.2"/>
    <row r="282" ht="15" hidden="1" customHeight="1" x14ac:dyDescent="0.2"/>
    <row r="283" ht="15" hidden="1" customHeight="1" x14ac:dyDescent="0.2"/>
    <row r="284" ht="15" hidden="1" customHeight="1" x14ac:dyDescent="0.2"/>
    <row r="285" ht="15" hidden="1" customHeight="1" x14ac:dyDescent="0.2"/>
    <row r="286" ht="15" hidden="1" customHeight="1" x14ac:dyDescent="0.2"/>
    <row r="287" ht="15" hidden="1" customHeight="1" x14ac:dyDescent="0.2"/>
    <row r="288" ht="15" hidden="1" customHeight="1" x14ac:dyDescent="0.2"/>
    <row r="289" ht="15" hidden="1" customHeight="1" x14ac:dyDescent="0.2"/>
    <row r="290" ht="15" hidden="1" customHeight="1" x14ac:dyDescent="0.2"/>
    <row r="291" ht="15" hidden="1" customHeight="1" x14ac:dyDescent="0.2"/>
    <row r="292" ht="15" hidden="1" customHeight="1" x14ac:dyDescent="0.2"/>
    <row r="293" ht="15" hidden="1" customHeight="1" x14ac:dyDescent="0.2"/>
    <row r="294" ht="15" hidden="1" customHeight="1" x14ac:dyDescent="0.2"/>
    <row r="295" ht="15" hidden="1" customHeight="1" x14ac:dyDescent="0.2"/>
    <row r="296" ht="15" hidden="1" customHeight="1" x14ac:dyDescent="0.2"/>
    <row r="297" ht="15" hidden="1" customHeight="1" x14ac:dyDescent="0.2"/>
    <row r="298" ht="15" hidden="1" customHeight="1" x14ac:dyDescent="0.2"/>
    <row r="299" ht="15" hidden="1" customHeight="1" x14ac:dyDescent="0.2"/>
    <row r="300" ht="15" hidden="1" customHeight="1" x14ac:dyDescent="0.2"/>
    <row r="301" ht="15" hidden="1" customHeight="1" x14ac:dyDescent="0.2"/>
    <row r="302" ht="15" hidden="1" customHeight="1" x14ac:dyDescent="0.2"/>
    <row r="303" ht="15" hidden="1" customHeight="1" x14ac:dyDescent="0.2"/>
    <row r="304" ht="15" hidden="1" customHeight="1" x14ac:dyDescent="0.2"/>
    <row r="305" ht="15" hidden="1" customHeight="1" x14ac:dyDescent="0.2"/>
    <row r="306" ht="15" hidden="1" customHeight="1" x14ac:dyDescent="0.2"/>
    <row r="307" ht="15" hidden="1" customHeight="1" x14ac:dyDescent="0.2"/>
    <row r="308" ht="15" hidden="1" customHeight="1" x14ac:dyDescent="0.2"/>
    <row r="309" ht="15" hidden="1" customHeight="1" x14ac:dyDescent="0.2"/>
    <row r="310" ht="15" hidden="1" customHeight="1" x14ac:dyDescent="0.2"/>
    <row r="311" ht="15" hidden="1" customHeight="1" x14ac:dyDescent="0.2"/>
    <row r="312" ht="15" hidden="1" customHeight="1" x14ac:dyDescent="0.2"/>
    <row r="313" ht="15" hidden="1" customHeight="1" x14ac:dyDescent="0.2"/>
    <row r="314" ht="15" hidden="1" customHeight="1" x14ac:dyDescent="0.2"/>
    <row r="315" ht="15" hidden="1" customHeight="1" x14ac:dyDescent="0.2"/>
    <row r="316" ht="15" hidden="1" customHeight="1" x14ac:dyDescent="0.2"/>
    <row r="317" ht="15" hidden="1" customHeight="1" x14ac:dyDescent="0.2"/>
    <row r="318" ht="15" hidden="1" customHeight="1" x14ac:dyDescent="0.2"/>
    <row r="319" ht="15" hidden="1" customHeight="1" x14ac:dyDescent="0.2"/>
    <row r="320" ht="15" hidden="1" customHeight="1" x14ac:dyDescent="0.2"/>
    <row r="321" ht="15" hidden="1" customHeight="1" x14ac:dyDescent="0.2"/>
    <row r="322" ht="15" hidden="1" customHeight="1" x14ac:dyDescent="0.2"/>
    <row r="323" ht="15" hidden="1" customHeight="1" x14ac:dyDescent="0.2"/>
    <row r="324" ht="15" hidden="1" customHeight="1" x14ac:dyDescent="0.2"/>
    <row r="325" ht="15" hidden="1" customHeight="1" x14ac:dyDescent="0.2"/>
    <row r="326" ht="15" hidden="1" customHeight="1" x14ac:dyDescent="0.2"/>
    <row r="327" ht="15" hidden="1" customHeight="1" x14ac:dyDescent="0.2"/>
    <row r="328" ht="15" hidden="1" customHeight="1" x14ac:dyDescent="0.2"/>
    <row r="329" ht="15" hidden="1" customHeight="1" x14ac:dyDescent="0.2"/>
    <row r="330" ht="15" hidden="1" customHeight="1" x14ac:dyDescent="0.2"/>
    <row r="331" ht="15" hidden="1" customHeight="1" x14ac:dyDescent="0.2"/>
    <row r="332" ht="15" hidden="1" customHeight="1" x14ac:dyDescent="0.2"/>
    <row r="333" ht="15" hidden="1" customHeight="1" x14ac:dyDescent="0.2"/>
    <row r="334" ht="15" hidden="1" customHeight="1" x14ac:dyDescent="0.2"/>
    <row r="335" ht="15" hidden="1" customHeight="1" x14ac:dyDescent="0.2"/>
    <row r="336" ht="15" hidden="1" customHeight="1" x14ac:dyDescent="0.2"/>
    <row r="337" ht="15" hidden="1" customHeight="1" x14ac:dyDescent="0.2"/>
    <row r="338" ht="15" hidden="1" customHeight="1" x14ac:dyDescent="0.2"/>
    <row r="339" ht="15" hidden="1" customHeight="1" x14ac:dyDescent="0.2"/>
    <row r="340" ht="15" hidden="1" customHeight="1" x14ac:dyDescent="0.2"/>
    <row r="341" ht="15" hidden="1" customHeight="1" x14ac:dyDescent="0.2"/>
    <row r="342" ht="15" hidden="1" customHeight="1" x14ac:dyDescent="0.2"/>
    <row r="343" ht="15" hidden="1" customHeight="1" x14ac:dyDescent="0.2"/>
    <row r="344" ht="15" hidden="1" customHeight="1" x14ac:dyDescent="0.2"/>
    <row r="345" ht="15" hidden="1" customHeight="1" x14ac:dyDescent="0.2"/>
    <row r="346" ht="15" hidden="1" customHeight="1" x14ac:dyDescent="0.2"/>
    <row r="347" ht="15" hidden="1" customHeight="1" x14ac:dyDescent="0.2"/>
    <row r="348" ht="15" hidden="1" customHeight="1" x14ac:dyDescent="0.2"/>
    <row r="349" ht="15" hidden="1" customHeight="1" x14ac:dyDescent="0.2"/>
    <row r="350" ht="15" hidden="1" customHeight="1" x14ac:dyDescent="0.2"/>
    <row r="351" ht="15" hidden="1" customHeight="1" x14ac:dyDescent="0.2"/>
    <row r="352" ht="15" hidden="1" customHeight="1" x14ac:dyDescent="0.2"/>
    <row r="353" ht="15" hidden="1" customHeight="1" x14ac:dyDescent="0.2"/>
    <row r="354" ht="15" hidden="1" customHeight="1" x14ac:dyDescent="0.2"/>
    <row r="355" ht="15" hidden="1" customHeight="1" x14ac:dyDescent="0.2"/>
    <row r="356" ht="15" hidden="1" customHeight="1" x14ac:dyDescent="0.2"/>
    <row r="357" ht="15" hidden="1" customHeight="1" x14ac:dyDescent="0.2"/>
    <row r="358" ht="15" hidden="1" customHeight="1" x14ac:dyDescent="0.2"/>
    <row r="359" ht="15" hidden="1" customHeight="1" x14ac:dyDescent="0.2"/>
    <row r="360" ht="15" hidden="1" customHeight="1" x14ac:dyDescent="0.2"/>
    <row r="361" ht="15" hidden="1" customHeight="1" x14ac:dyDescent="0.2"/>
    <row r="362" ht="15" hidden="1" customHeight="1" x14ac:dyDescent="0.2"/>
    <row r="363" ht="15" hidden="1" customHeight="1" x14ac:dyDescent="0.2"/>
    <row r="364" ht="15" hidden="1" customHeight="1" x14ac:dyDescent="0.2"/>
    <row r="365" ht="15" hidden="1" customHeight="1" x14ac:dyDescent="0.2"/>
    <row r="366" ht="15" hidden="1" customHeight="1" x14ac:dyDescent="0.2"/>
    <row r="367" ht="15" hidden="1" customHeight="1" x14ac:dyDescent="0.2"/>
    <row r="368" ht="15" hidden="1" customHeight="1" x14ac:dyDescent="0.2"/>
    <row r="369" ht="15" hidden="1" customHeight="1" x14ac:dyDescent="0.2"/>
    <row r="370" ht="15" hidden="1" customHeight="1" x14ac:dyDescent="0.2"/>
    <row r="371" ht="15" hidden="1" customHeight="1" x14ac:dyDescent="0.2"/>
    <row r="372" ht="15" hidden="1" customHeight="1" x14ac:dyDescent="0.2"/>
    <row r="373" ht="15" hidden="1" customHeight="1" x14ac:dyDescent="0.2"/>
    <row r="374" ht="15" hidden="1" customHeight="1" x14ac:dyDescent="0.2"/>
    <row r="375" ht="15" hidden="1" customHeight="1" x14ac:dyDescent="0.2"/>
    <row r="376" ht="15" hidden="1" customHeight="1" x14ac:dyDescent="0.2"/>
    <row r="377" ht="15" hidden="1" customHeight="1" x14ac:dyDescent="0.2"/>
    <row r="378" ht="15" hidden="1" customHeight="1" x14ac:dyDescent="0.2"/>
    <row r="379" ht="15" hidden="1" customHeight="1" x14ac:dyDescent="0.2"/>
    <row r="380" ht="15" hidden="1" customHeight="1" x14ac:dyDescent="0.2"/>
    <row r="381" ht="15" hidden="1" customHeight="1" x14ac:dyDescent="0.2"/>
    <row r="382" ht="15" hidden="1" customHeight="1" x14ac:dyDescent="0.2"/>
    <row r="383" ht="15" hidden="1" customHeight="1" x14ac:dyDescent="0.2"/>
    <row r="384" ht="15" hidden="1" customHeight="1" x14ac:dyDescent="0.2"/>
    <row r="385" ht="15" hidden="1" customHeight="1" x14ac:dyDescent="0.2"/>
    <row r="386" ht="15" hidden="1" customHeight="1" x14ac:dyDescent="0.2"/>
    <row r="387" ht="15" hidden="1" customHeight="1" x14ac:dyDescent="0.2"/>
    <row r="388" ht="15" hidden="1" customHeight="1" x14ac:dyDescent="0.2"/>
    <row r="389" ht="15" hidden="1" customHeight="1" x14ac:dyDescent="0.2"/>
    <row r="390" ht="15" hidden="1" customHeight="1" x14ac:dyDescent="0.2"/>
    <row r="391" ht="15" hidden="1" customHeight="1" x14ac:dyDescent="0.2"/>
    <row r="392" ht="15" hidden="1" customHeight="1" x14ac:dyDescent="0.2"/>
    <row r="393" ht="15" hidden="1" customHeight="1" x14ac:dyDescent="0.2"/>
    <row r="394" ht="15" hidden="1" customHeight="1" x14ac:dyDescent="0.2"/>
    <row r="395" ht="15" hidden="1" customHeight="1" x14ac:dyDescent="0.2"/>
    <row r="396" ht="15" hidden="1" customHeight="1" x14ac:dyDescent="0.2"/>
    <row r="397" ht="15" hidden="1" customHeight="1" x14ac:dyDescent="0.2"/>
    <row r="398" ht="15" hidden="1" customHeight="1" x14ac:dyDescent="0.2"/>
    <row r="399" ht="15" hidden="1" customHeight="1" x14ac:dyDescent="0.2"/>
    <row r="400" ht="15" hidden="1" customHeight="1" x14ac:dyDescent="0.2"/>
    <row r="401" ht="15" hidden="1" customHeight="1" x14ac:dyDescent="0.2"/>
    <row r="402" ht="15" hidden="1" customHeight="1" x14ac:dyDescent="0.2"/>
    <row r="403" ht="15" hidden="1" customHeight="1" x14ac:dyDescent="0.2"/>
    <row r="404" ht="15" hidden="1" customHeight="1" x14ac:dyDescent="0.2"/>
    <row r="405" ht="15" hidden="1" customHeight="1" x14ac:dyDescent="0.2"/>
    <row r="406" ht="15" hidden="1" customHeight="1" x14ac:dyDescent="0.2"/>
    <row r="407" ht="15" hidden="1" customHeight="1" x14ac:dyDescent="0.2"/>
    <row r="408" ht="15" hidden="1" customHeight="1" x14ac:dyDescent="0.2"/>
    <row r="409" ht="15" hidden="1" customHeight="1" x14ac:dyDescent="0.2"/>
    <row r="410" ht="15" hidden="1" customHeight="1" x14ac:dyDescent="0.2"/>
    <row r="411" ht="15" hidden="1" customHeight="1" x14ac:dyDescent="0.2"/>
    <row r="412" ht="15" hidden="1" customHeight="1" x14ac:dyDescent="0.2"/>
    <row r="413" ht="15" hidden="1" customHeight="1" x14ac:dyDescent="0.2"/>
    <row r="414" ht="15" hidden="1" customHeight="1" x14ac:dyDescent="0.2"/>
    <row r="415" ht="15" hidden="1" customHeight="1" x14ac:dyDescent="0.2"/>
    <row r="416" ht="15" hidden="1" customHeight="1" x14ac:dyDescent="0.2"/>
    <row r="417" ht="15" hidden="1" customHeight="1" x14ac:dyDescent="0.2"/>
    <row r="418" ht="15" hidden="1" customHeight="1" x14ac:dyDescent="0.2"/>
    <row r="419" ht="15" hidden="1" customHeight="1" x14ac:dyDescent="0.2"/>
    <row r="420" ht="15" hidden="1" customHeight="1" x14ac:dyDescent="0.2"/>
    <row r="421" ht="15" hidden="1" customHeight="1" x14ac:dyDescent="0.2"/>
    <row r="422" ht="15" hidden="1" customHeight="1" x14ac:dyDescent="0.2"/>
    <row r="423" ht="15" hidden="1" customHeight="1" x14ac:dyDescent="0.2"/>
    <row r="424" ht="15" hidden="1" customHeight="1" x14ac:dyDescent="0.2"/>
    <row r="425" ht="15" hidden="1" customHeight="1" x14ac:dyDescent="0.2"/>
    <row r="426" ht="15" hidden="1" customHeight="1" x14ac:dyDescent="0.2"/>
    <row r="427" ht="15" hidden="1" customHeight="1" x14ac:dyDescent="0.2"/>
    <row r="428" ht="15" hidden="1" customHeight="1" x14ac:dyDescent="0.2"/>
    <row r="429" ht="15" hidden="1" customHeight="1" x14ac:dyDescent="0.2"/>
    <row r="430" ht="15" hidden="1" customHeight="1" x14ac:dyDescent="0.2"/>
    <row r="431" ht="15" hidden="1" customHeight="1" x14ac:dyDescent="0.2"/>
    <row r="432" ht="15" hidden="1" customHeight="1" x14ac:dyDescent="0.2"/>
    <row r="433" ht="15" hidden="1" customHeight="1" x14ac:dyDescent="0.2"/>
    <row r="434" ht="15" hidden="1" customHeight="1" x14ac:dyDescent="0.2"/>
    <row r="435" ht="15" hidden="1" customHeight="1" x14ac:dyDescent="0.2"/>
    <row r="436" ht="15" hidden="1" customHeight="1" x14ac:dyDescent="0.2"/>
    <row r="437" ht="15" hidden="1" customHeight="1" x14ac:dyDescent="0.2"/>
    <row r="438" ht="15" hidden="1" customHeight="1" x14ac:dyDescent="0.2"/>
    <row r="439" ht="15" hidden="1" customHeight="1" x14ac:dyDescent="0.2"/>
    <row r="440" ht="15" hidden="1" customHeight="1" x14ac:dyDescent="0.2"/>
    <row r="441" ht="15" hidden="1" customHeight="1" x14ac:dyDescent="0.2"/>
    <row r="442" ht="15" hidden="1" customHeight="1" x14ac:dyDescent="0.2"/>
    <row r="443" ht="15" hidden="1" customHeight="1" x14ac:dyDescent="0.2"/>
    <row r="444" ht="15" hidden="1" customHeight="1" x14ac:dyDescent="0.2"/>
    <row r="445" ht="15" hidden="1" customHeight="1" x14ac:dyDescent="0.2"/>
    <row r="446" ht="15" hidden="1" customHeight="1" x14ac:dyDescent="0.2"/>
    <row r="447" ht="15" hidden="1" customHeight="1" x14ac:dyDescent="0.2"/>
    <row r="448" ht="15" hidden="1" customHeight="1" x14ac:dyDescent="0.2"/>
    <row r="449" ht="15" hidden="1" customHeight="1" x14ac:dyDescent="0.2"/>
    <row r="450" ht="15" hidden="1" customHeight="1" x14ac:dyDescent="0.2"/>
    <row r="451" ht="15" hidden="1" customHeight="1" x14ac:dyDescent="0.2"/>
    <row r="452" ht="15" hidden="1" customHeight="1" x14ac:dyDescent="0.2"/>
    <row r="453" ht="15" hidden="1" customHeight="1" x14ac:dyDescent="0.2"/>
    <row r="454" ht="15" hidden="1" customHeight="1" x14ac:dyDescent="0.2"/>
    <row r="455" ht="15" hidden="1" customHeight="1" x14ac:dyDescent="0.2"/>
    <row r="456" ht="15" hidden="1" customHeight="1" x14ac:dyDescent="0.2"/>
    <row r="457" ht="15" hidden="1" customHeight="1" x14ac:dyDescent="0.2"/>
    <row r="458" ht="15" hidden="1" customHeight="1" x14ac:dyDescent="0.2"/>
    <row r="459" ht="15" hidden="1" customHeight="1" x14ac:dyDescent="0.2"/>
    <row r="460" ht="15" hidden="1" customHeight="1" x14ac:dyDescent="0.2"/>
    <row r="461" ht="15" hidden="1" customHeight="1" x14ac:dyDescent="0.2"/>
    <row r="462" ht="15" hidden="1" customHeight="1" x14ac:dyDescent="0.2"/>
    <row r="463" ht="15" hidden="1" customHeight="1" x14ac:dyDescent="0.2"/>
    <row r="464" ht="15" hidden="1" customHeight="1" x14ac:dyDescent="0.2"/>
    <row r="465" ht="15" hidden="1" customHeight="1" x14ac:dyDescent="0.2"/>
    <row r="466" ht="15" hidden="1" customHeight="1" x14ac:dyDescent="0.2"/>
    <row r="467" ht="15" hidden="1" customHeight="1" x14ac:dyDescent="0.2"/>
    <row r="468" ht="15" hidden="1" customHeight="1" x14ac:dyDescent="0.2"/>
    <row r="469" ht="15" hidden="1" customHeight="1" x14ac:dyDescent="0.2"/>
    <row r="470" ht="15" hidden="1" customHeight="1" x14ac:dyDescent="0.2"/>
    <row r="471" ht="15" hidden="1" customHeight="1" x14ac:dyDescent="0.2"/>
    <row r="472" ht="15" hidden="1" customHeight="1" x14ac:dyDescent="0.2"/>
    <row r="473" ht="15" hidden="1" customHeight="1" x14ac:dyDescent="0.2"/>
    <row r="474" ht="15" hidden="1" customHeight="1" x14ac:dyDescent="0.2"/>
    <row r="475" ht="15" hidden="1" customHeight="1" x14ac:dyDescent="0.2"/>
    <row r="476" ht="15" hidden="1" customHeight="1" x14ac:dyDescent="0.2"/>
    <row r="477" ht="15" hidden="1" customHeight="1" x14ac:dyDescent="0.2"/>
    <row r="478" ht="15" hidden="1" customHeight="1" x14ac:dyDescent="0.2"/>
    <row r="479" ht="15" hidden="1" customHeight="1" x14ac:dyDescent="0.2"/>
    <row r="480" ht="15" hidden="1" customHeight="1" x14ac:dyDescent="0.2"/>
    <row r="481" ht="15" hidden="1" customHeight="1" x14ac:dyDescent="0.2"/>
    <row r="482" ht="15" hidden="1" customHeight="1" x14ac:dyDescent="0.2"/>
    <row r="483" ht="15" hidden="1" customHeight="1" x14ac:dyDescent="0.2"/>
    <row r="484" ht="15" hidden="1" customHeight="1" x14ac:dyDescent="0.2"/>
    <row r="485" ht="15" hidden="1" customHeight="1" x14ac:dyDescent="0.2"/>
    <row r="486" ht="15" hidden="1" customHeight="1" x14ac:dyDescent="0.2"/>
    <row r="487" ht="15" hidden="1" customHeight="1" x14ac:dyDescent="0.2"/>
    <row r="488" ht="15" hidden="1" customHeight="1" x14ac:dyDescent="0.2"/>
    <row r="489" ht="15" hidden="1" customHeight="1" x14ac:dyDescent="0.2"/>
    <row r="490" ht="15" hidden="1" customHeight="1" x14ac:dyDescent="0.2"/>
    <row r="491" ht="15" hidden="1" customHeight="1" x14ac:dyDescent="0.2"/>
    <row r="492" ht="15" hidden="1" customHeight="1" x14ac:dyDescent="0.2"/>
    <row r="493" ht="15" hidden="1" customHeight="1" x14ac:dyDescent="0.2"/>
    <row r="494" ht="15" hidden="1" customHeight="1" x14ac:dyDescent="0.2"/>
    <row r="495" ht="15" hidden="1" customHeight="1" x14ac:dyDescent="0.2"/>
    <row r="496" ht="15" hidden="1" customHeight="1" x14ac:dyDescent="0.2"/>
    <row r="497" ht="15" hidden="1" customHeight="1" x14ac:dyDescent="0.2"/>
    <row r="498" ht="15" hidden="1" customHeight="1" x14ac:dyDescent="0.2"/>
  </sheetData>
  <mergeCells count="21">
    <mergeCell ref="B28:G28"/>
    <mergeCell ref="B23:C23"/>
    <mergeCell ref="D23:G23"/>
    <mergeCell ref="B24:C24"/>
    <mergeCell ref="D24:G24"/>
    <mergeCell ref="B26:G26"/>
    <mergeCell ref="C18:G18"/>
    <mergeCell ref="B20:G20"/>
    <mergeCell ref="B21:G21"/>
    <mergeCell ref="B22:C22"/>
    <mergeCell ref="D22:G22"/>
    <mergeCell ref="C13:G13"/>
    <mergeCell ref="C14:G14"/>
    <mergeCell ref="C15:G15"/>
    <mergeCell ref="C16:G16"/>
    <mergeCell ref="C17:G17"/>
    <mergeCell ref="B6:G6"/>
    <mergeCell ref="B7:G7"/>
    <mergeCell ref="B8:G8"/>
    <mergeCell ref="B11:G11"/>
    <mergeCell ref="C12:G12"/>
  </mergeCells>
  <pageMargins left="0.3" right="0.3" top="0.4" bottom="0.4" header="0.511811023622047" footer="0.511811023622047"/>
  <pageSetup paperSize="9" orientation="portrait" horizontalDpi="300" verticalDpi="300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tabColor rgb="FF0A1F66"/>
    <pageSetUpPr fitToPage="1"/>
  </sheetPr>
  <dimension ref="B2:BG499"/>
  <sheetViews>
    <sheetView showGridLines="0" zoomScale="200" zoomScaleNormal="200" workbookViewId="0">
      <selection activeCell="F504" sqref="F504"/>
    </sheetView>
  </sheetViews>
  <sheetFormatPr baseColWidth="10" defaultColWidth="8.6640625" defaultRowHeight="15" x14ac:dyDescent="0.2"/>
  <cols>
    <col min="1" max="1" width="2" customWidth="1"/>
    <col min="2" max="4" width="12" customWidth="1"/>
    <col min="5" max="5" width="2" customWidth="1"/>
    <col min="6" max="8" width="12" customWidth="1"/>
    <col min="9" max="9" width="2" customWidth="1"/>
    <col min="10" max="12" width="12" customWidth="1"/>
    <col min="13" max="13" width="2" customWidth="1"/>
    <col min="14" max="16" width="12" customWidth="1"/>
    <col min="17" max="17" width="2" hidden="1" customWidth="1"/>
    <col min="18" max="59" width="13" hidden="1" customWidth="1"/>
  </cols>
  <sheetData>
    <row r="2" spans="2:16" ht="36" customHeight="1" x14ac:dyDescent="0.2">
      <c r="B2" s="14" t="s">
        <v>28</v>
      </c>
      <c r="C2" s="14"/>
      <c r="D2" s="14"/>
      <c r="E2" s="14"/>
      <c r="F2" s="14"/>
      <c r="G2" s="14"/>
      <c r="H2" s="14"/>
      <c r="I2" s="14"/>
      <c r="J2" s="14"/>
      <c r="K2" s="14"/>
      <c r="L2" s="14"/>
      <c r="M2" s="14"/>
      <c r="N2" s="14"/>
      <c r="O2" s="14"/>
      <c r="P2" s="14"/>
    </row>
    <row r="3" spans="2:16" ht="18" customHeight="1" x14ac:dyDescent="0.2">
      <c r="B3" s="13" t="s">
        <v>29</v>
      </c>
      <c r="C3" s="13"/>
      <c r="D3" s="13"/>
      <c r="E3" s="13"/>
      <c r="F3" s="13"/>
      <c r="G3" s="13"/>
      <c r="H3" s="13"/>
      <c r="I3" s="13"/>
      <c r="J3" s="13"/>
      <c r="K3" s="13"/>
      <c r="L3" s="13"/>
      <c r="M3" s="13"/>
      <c r="N3" s="13"/>
      <c r="O3" s="13"/>
      <c r="P3" s="13"/>
    </row>
    <row r="4" spans="2:16" ht="15" customHeight="1" x14ac:dyDescent="0.2">
      <c r="B4" s="15"/>
      <c r="P4" s="16"/>
    </row>
    <row r="5" spans="2:16" ht="19.5" customHeight="1" x14ac:dyDescent="0.2">
      <c r="B5" s="12" t="s">
        <v>30</v>
      </c>
      <c r="C5" s="12"/>
      <c r="D5" s="12"/>
      <c r="E5" s="12"/>
      <c r="F5" s="12"/>
      <c r="G5" s="12"/>
      <c r="H5" s="12"/>
      <c r="I5" s="12"/>
      <c r="J5" s="12"/>
      <c r="K5" s="12"/>
      <c r="L5" s="12"/>
      <c r="M5" s="12"/>
      <c r="N5" s="12"/>
      <c r="O5" s="12"/>
      <c r="P5" s="12"/>
    </row>
    <row r="6" spans="2:16" ht="6" customHeight="1" x14ac:dyDescent="0.2">
      <c r="B6" s="15"/>
      <c r="P6" s="16"/>
    </row>
    <row r="7" spans="2:16" ht="3" customHeight="1" x14ac:dyDescent="0.2">
      <c r="B7" s="17"/>
      <c r="C7" s="18"/>
      <c r="D7" s="19"/>
      <c r="F7" s="20"/>
      <c r="G7" s="21"/>
      <c r="H7" s="22"/>
      <c r="J7" s="23"/>
      <c r="K7" s="24"/>
      <c r="L7" s="25"/>
      <c r="N7" s="26"/>
      <c r="O7" s="27"/>
      <c r="P7" s="28"/>
    </row>
    <row r="8" spans="2:16" ht="21.75" customHeight="1" x14ac:dyDescent="0.2">
      <c r="B8" s="11" t="s">
        <v>31</v>
      </c>
      <c r="C8" s="11"/>
      <c r="D8" s="11"/>
      <c r="F8" s="10" t="s">
        <v>32</v>
      </c>
      <c r="G8" s="10"/>
      <c r="H8" s="10"/>
      <c r="J8" s="10" t="s">
        <v>33</v>
      </c>
      <c r="K8" s="10"/>
      <c r="L8" s="10"/>
      <c r="N8" s="9" t="s">
        <v>34</v>
      </c>
      <c r="O8" s="9"/>
      <c r="P8" s="9"/>
    </row>
    <row r="9" spans="2:16" ht="36" customHeight="1" x14ac:dyDescent="0.2">
      <c r="B9" s="8">
        <f>COUNTA(Register!$B$7:$B$66)</f>
        <v>0</v>
      </c>
      <c r="C9" s="8"/>
      <c r="D9" s="8"/>
      <c r="F9" s="7">
        <f>COUNTIF(Register!$K$7:$K$66,"In tender")</f>
        <v>0</v>
      </c>
      <c r="G9" s="7"/>
      <c r="H9" s="7"/>
      <c r="J9" s="6">
        <f>COUNTIF(Register!$K$7:$K$66,"Submitted")</f>
        <v>0</v>
      </c>
      <c r="K9" s="6"/>
      <c r="L9" s="6"/>
      <c r="N9" s="5">
        <f ca="1">SUMPRODUCT((Register!$K$7:$K$66="Submitted")*(Register!$J$7:$J$66&lt;&gt;"")*(Register!$J$7:$J$66&lt;TODAY()))</f>
        <v>0</v>
      </c>
      <c r="O9" s="5"/>
      <c r="P9" s="5"/>
    </row>
    <row r="10" spans="2:16" ht="15" customHeight="1" x14ac:dyDescent="0.2">
      <c r="B10" s="15"/>
      <c r="P10" s="16"/>
    </row>
    <row r="11" spans="2:16" ht="15" customHeight="1" x14ac:dyDescent="0.2">
      <c r="B11" s="15"/>
      <c r="P11" s="16"/>
    </row>
    <row r="12" spans="2:16" ht="19.5" customHeight="1" x14ac:dyDescent="0.2">
      <c r="B12" s="12" t="s">
        <v>35</v>
      </c>
      <c r="C12" s="12"/>
      <c r="D12" s="12"/>
      <c r="E12" s="12"/>
      <c r="F12" s="12"/>
      <c r="G12" s="12"/>
      <c r="H12" s="12"/>
      <c r="I12" s="12"/>
      <c r="J12" s="12"/>
      <c r="K12" s="12"/>
      <c r="L12" s="12"/>
      <c r="M12" s="12"/>
      <c r="N12" s="12"/>
      <c r="O12" s="12"/>
      <c r="P12" s="12"/>
    </row>
    <row r="13" spans="2:16" ht="6" customHeight="1" x14ac:dyDescent="0.2">
      <c r="B13" s="15"/>
      <c r="P13" s="16"/>
    </row>
    <row r="14" spans="2:16" ht="3" customHeight="1" x14ac:dyDescent="0.2">
      <c r="B14" s="29"/>
      <c r="C14" s="30"/>
      <c r="D14" s="31"/>
      <c r="F14" s="32"/>
      <c r="G14" s="33"/>
      <c r="H14" s="34"/>
      <c r="J14" s="35"/>
      <c r="K14" s="36"/>
      <c r="L14" s="37"/>
      <c r="N14" s="35"/>
      <c r="O14" s="36"/>
      <c r="P14" s="38"/>
    </row>
    <row r="15" spans="2:16" ht="21.75" customHeight="1" x14ac:dyDescent="0.2">
      <c r="B15" s="11" t="s">
        <v>36</v>
      </c>
      <c r="C15" s="11"/>
      <c r="D15" s="11"/>
      <c r="F15" s="10" t="s">
        <v>37</v>
      </c>
      <c r="G15" s="10"/>
      <c r="H15" s="10"/>
      <c r="J15" s="10" t="s">
        <v>38</v>
      </c>
      <c r="K15" s="10"/>
      <c r="L15" s="10"/>
      <c r="N15" s="9" t="s">
        <v>39</v>
      </c>
      <c r="O15" s="9"/>
      <c r="P15" s="9"/>
    </row>
    <row r="16" spans="2:16" ht="36" customHeight="1" x14ac:dyDescent="0.2">
      <c r="B16" s="4">
        <f>COUNTIF(Register!$K$7:$K$66,"Won")</f>
        <v>0</v>
      </c>
      <c r="C16" s="4"/>
      <c r="D16" s="4"/>
      <c r="F16" s="3">
        <f>COUNTIF(Register!$K$7:$K$66,"Lost")</f>
        <v>0</v>
      </c>
      <c r="G16" s="3"/>
      <c r="H16" s="3"/>
      <c r="J16" s="2">
        <f>IFERROR(COUNTIF(Register!$K$7:$K$66,"Won")/(COUNTIF(Register!$K$7:$K$66,"Won")+COUNTIF(Register!$K$7:$K$66,"Lost")),0)</f>
        <v>0</v>
      </c>
      <c r="K16" s="2"/>
      <c r="L16" s="2"/>
      <c r="N16" s="1">
        <f>IFERROR(AVERAGEIFS(Register!$I$7:$I$66,Register!$I$7:$I$66,"&gt;0"),0)</f>
        <v>0</v>
      </c>
      <c r="O16" s="1"/>
      <c r="P16" s="1"/>
    </row>
    <row r="17" spans="2:16" ht="15" customHeight="1" x14ac:dyDescent="0.2">
      <c r="B17" s="15"/>
      <c r="P17" s="16"/>
    </row>
    <row r="18" spans="2:16" ht="15" customHeight="1" x14ac:dyDescent="0.2">
      <c r="B18" s="15"/>
      <c r="P18" s="16"/>
    </row>
    <row r="19" spans="2:16" ht="19.5" customHeight="1" x14ac:dyDescent="0.2">
      <c r="B19" s="12" t="s">
        <v>40</v>
      </c>
      <c r="C19" s="12"/>
      <c r="D19" s="12"/>
      <c r="E19" s="12"/>
      <c r="F19" s="12"/>
      <c r="G19" s="12"/>
      <c r="H19" s="12"/>
      <c r="I19" s="12"/>
      <c r="J19" s="12"/>
      <c r="K19" s="12"/>
      <c r="L19" s="12"/>
      <c r="M19" s="12"/>
      <c r="N19" s="12"/>
      <c r="O19" s="12"/>
      <c r="P19" s="12"/>
    </row>
    <row r="20" spans="2:16" ht="6" customHeight="1" x14ac:dyDescent="0.2">
      <c r="B20" s="15"/>
      <c r="P20" s="16"/>
    </row>
    <row r="21" spans="2:16" ht="3" customHeight="1" x14ac:dyDescent="0.2">
      <c r="B21" s="39"/>
      <c r="C21" s="24"/>
      <c r="D21" s="25"/>
      <c r="F21" s="40"/>
      <c r="G21" s="30"/>
      <c r="H21" s="31"/>
      <c r="J21" s="32"/>
      <c r="K21" s="33"/>
      <c r="L21" s="34"/>
      <c r="N21" s="35"/>
      <c r="O21" s="36"/>
      <c r="P21" s="38"/>
    </row>
    <row r="22" spans="2:16" ht="21.75" customHeight="1" x14ac:dyDescent="0.2">
      <c r="B22" s="11" t="s">
        <v>41</v>
      </c>
      <c r="C22" s="11"/>
      <c r="D22" s="11"/>
      <c r="F22" s="10" t="s">
        <v>42</v>
      </c>
      <c r="G22" s="10"/>
      <c r="H22" s="10"/>
      <c r="J22" s="10" t="s">
        <v>43</v>
      </c>
      <c r="K22" s="10"/>
      <c r="L22" s="10"/>
      <c r="N22" s="9" t="s">
        <v>44</v>
      </c>
      <c r="O22" s="9"/>
      <c r="P22" s="9"/>
    </row>
    <row r="23" spans="2:16" ht="36" customHeight="1" x14ac:dyDescent="0.2">
      <c r="B23" s="64">
        <f>SUMIFS(Register!$I$7:$I$66,Register!$K$7:$K$66,"Submitted")</f>
        <v>0</v>
      </c>
      <c r="C23" s="64"/>
      <c r="D23" s="64"/>
      <c r="F23" s="65">
        <f>SUMIFS(Register!$I$7:$I$66,Register!$K$7:$K$66,"Won")</f>
        <v>0</v>
      </c>
      <c r="G23" s="65"/>
      <c r="H23" s="65"/>
      <c r="J23" s="66">
        <f>SUMIFS(Register!$I$7:$I$66,Register!$K$7:$K$66,"Lost")</f>
        <v>0</v>
      </c>
      <c r="K23" s="66"/>
      <c r="L23" s="66"/>
      <c r="N23" s="67">
        <f>IFERROR(SUMIFS(Register!$I$7:$I$66,Register!$K$7:$K$66,"Won")/(SUMIFS(Register!$I$7:$I$66,Register!$K$7:$K$66,"Won")+SUMIFS(Register!$I$7:$I$66,Register!$K$7:$K$66,"Lost")),0)</f>
        <v>0</v>
      </c>
      <c r="O23" s="67"/>
      <c r="P23" s="67"/>
    </row>
    <row r="24" spans="2:16" ht="15" customHeight="1" x14ac:dyDescent="0.2">
      <c r="B24" s="15"/>
      <c r="P24" s="16"/>
    </row>
    <row r="25" spans="2:16" ht="15" customHeight="1" x14ac:dyDescent="0.2">
      <c r="B25" s="15"/>
      <c r="P25" s="16"/>
    </row>
    <row r="26" spans="2:16" ht="18" customHeight="1" x14ac:dyDescent="0.2">
      <c r="B26" s="68" t="s">
        <v>45</v>
      </c>
      <c r="C26" s="68"/>
      <c r="D26" s="68"/>
      <c r="E26" s="68"/>
      <c r="F26" s="68"/>
      <c r="G26" s="68"/>
      <c r="H26" s="68"/>
      <c r="I26" s="68"/>
      <c r="J26" s="68"/>
      <c r="K26" s="68"/>
      <c r="L26" s="68"/>
      <c r="M26" s="68"/>
      <c r="N26" s="68"/>
      <c r="O26" s="68"/>
      <c r="P26" s="68"/>
    </row>
    <row r="27" spans="2:16" ht="15" hidden="1" customHeight="1" x14ac:dyDescent="0.2"/>
    <row r="28" spans="2:16" ht="15" hidden="1" customHeight="1" x14ac:dyDescent="0.2"/>
    <row r="29" spans="2:16" ht="15" hidden="1" customHeight="1" x14ac:dyDescent="0.2"/>
    <row r="30" spans="2:16" ht="15" hidden="1" customHeight="1" x14ac:dyDescent="0.2"/>
    <row r="31" spans="2:16" ht="15" hidden="1" customHeight="1" x14ac:dyDescent="0.2"/>
    <row r="32" spans="2:16" ht="15" hidden="1" customHeight="1" x14ac:dyDescent="0.2"/>
    <row r="33" ht="15" hidden="1" customHeight="1" x14ac:dyDescent="0.2"/>
    <row r="34" ht="15" hidden="1" customHeight="1" x14ac:dyDescent="0.2"/>
    <row r="35" ht="15" hidden="1" customHeight="1" x14ac:dyDescent="0.2"/>
    <row r="36" ht="15" hidden="1" customHeight="1" x14ac:dyDescent="0.2"/>
    <row r="37" ht="15" hidden="1" customHeight="1" x14ac:dyDescent="0.2"/>
    <row r="38" ht="15" hidden="1" customHeight="1" x14ac:dyDescent="0.2"/>
    <row r="39" ht="15" hidden="1" customHeight="1" x14ac:dyDescent="0.2"/>
    <row r="40" ht="15" hidden="1" customHeight="1" x14ac:dyDescent="0.2"/>
    <row r="41" ht="15" hidden="1" customHeight="1" x14ac:dyDescent="0.2"/>
    <row r="42" ht="15" hidden="1" customHeight="1" x14ac:dyDescent="0.2"/>
    <row r="43" ht="15" hidden="1" customHeight="1" x14ac:dyDescent="0.2"/>
    <row r="44" ht="15" hidden="1" customHeight="1" x14ac:dyDescent="0.2"/>
    <row r="45" ht="15" hidden="1" customHeight="1" x14ac:dyDescent="0.2"/>
    <row r="46" ht="15" hidden="1" customHeight="1" x14ac:dyDescent="0.2"/>
    <row r="47" ht="15" hidden="1" customHeight="1" x14ac:dyDescent="0.2"/>
    <row r="48" ht="15" hidden="1" customHeight="1" x14ac:dyDescent="0.2"/>
    <row r="49" ht="15" hidden="1" customHeight="1" x14ac:dyDescent="0.2"/>
    <row r="50" ht="15" hidden="1" customHeight="1" x14ac:dyDescent="0.2"/>
    <row r="51" ht="15" hidden="1" customHeight="1" x14ac:dyDescent="0.2"/>
    <row r="52" ht="15" hidden="1" customHeight="1" x14ac:dyDescent="0.2"/>
    <row r="53" ht="15" hidden="1" customHeight="1" x14ac:dyDescent="0.2"/>
    <row r="54" ht="15" hidden="1" customHeight="1" x14ac:dyDescent="0.2"/>
    <row r="55" ht="15" hidden="1" customHeight="1" x14ac:dyDescent="0.2"/>
    <row r="56" ht="15" hidden="1" customHeight="1" x14ac:dyDescent="0.2"/>
    <row r="57" ht="15" hidden="1" customHeight="1" x14ac:dyDescent="0.2"/>
    <row r="58" ht="15" hidden="1" customHeight="1" x14ac:dyDescent="0.2"/>
    <row r="59" ht="15" hidden="1" customHeight="1" x14ac:dyDescent="0.2"/>
    <row r="60" ht="15" hidden="1" customHeight="1" x14ac:dyDescent="0.2"/>
    <row r="61" ht="15" hidden="1" customHeight="1" x14ac:dyDescent="0.2"/>
    <row r="62" ht="15" hidden="1" customHeight="1" x14ac:dyDescent="0.2"/>
    <row r="63" ht="15" hidden="1" customHeight="1" x14ac:dyDescent="0.2"/>
    <row r="64" ht="15" hidden="1" customHeight="1" x14ac:dyDescent="0.2"/>
    <row r="65" ht="15" hidden="1" customHeight="1" x14ac:dyDescent="0.2"/>
    <row r="66" ht="15" hidden="1" customHeight="1" x14ac:dyDescent="0.2"/>
    <row r="67" ht="15" hidden="1" customHeight="1" x14ac:dyDescent="0.2"/>
    <row r="68" ht="15" hidden="1" customHeight="1" x14ac:dyDescent="0.2"/>
    <row r="69" ht="15" hidden="1" customHeight="1" x14ac:dyDescent="0.2"/>
    <row r="70" ht="15" hidden="1" customHeight="1" x14ac:dyDescent="0.2"/>
    <row r="71" ht="15" hidden="1" customHeight="1" x14ac:dyDescent="0.2"/>
    <row r="72" ht="15" hidden="1" customHeight="1" x14ac:dyDescent="0.2"/>
    <row r="73" ht="15" hidden="1" customHeight="1" x14ac:dyDescent="0.2"/>
    <row r="74" ht="15" hidden="1" customHeight="1" x14ac:dyDescent="0.2"/>
    <row r="75" ht="15" hidden="1" customHeight="1" x14ac:dyDescent="0.2"/>
    <row r="76" ht="15" hidden="1" customHeight="1" x14ac:dyDescent="0.2"/>
    <row r="77" ht="15" hidden="1" customHeight="1" x14ac:dyDescent="0.2"/>
    <row r="78" ht="15" hidden="1" customHeight="1" x14ac:dyDescent="0.2"/>
    <row r="79" ht="15" hidden="1" customHeight="1" x14ac:dyDescent="0.2"/>
    <row r="80" ht="15" hidden="1" customHeight="1" x14ac:dyDescent="0.2"/>
    <row r="81" ht="15" hidden="1" customHeight="1" x14ac:dyDescent="0.2"/>
    <row r="82" ht="15" hidden="1" customHeight="1" x14ac:dyDescent="0.2"/>
    <row r="83" ht="15" hidden="1" customHeight="1" x14ac:dyDescent="0.2"/>
    <row r="84" ht="15" hidden="1" customHeight="1" x14ac:dyDescent="0.2"/>
    <row r="85" ht="15" hidden="1" customHeight="1" x14ac:dyDescent="0.2"/>
    <row r="86" ht="15" hidden="1" customHeight="1" x14ac:dyDescent="0.2"/>
    <row r="87" ht="15" hidden="1" customHeight="1" x14ac:dyDescent="0.2"/>
    <row r="88" ht="15" hidden="1" customHeight="1" x14ac:dyDescent="0.2"/>
    <row r="89" ht="15" hidden="1" customHeight="1" x14ac:dyDescent="0.2"/>
    <row r="90" ht="15" hidden="1" customHeight="1" x14ac:dyDescent="0.2"/>
    <row r="91" ht="15" hidden="1" customHeight="1" x14ac:dyDescent="0.2"/>
    <row r="92" ht="15" hidden="1" customHeight="1" x14ac:dyDescent="0.2"/>
    <row r="93" ht="15" hidden="1" customHeight="1" x14ac:dyDescent="0.2"/>
    <row r="94" ht="15" hidden="1" customHeight="1" x14ac:dyDescent="0.2"/>
    <row r="95" ht="15" hidden="1" customHeight="1" x14ac:dyDescent="0.2"/>
    <row r="96" ht="15" hidden="1" customHeight="1" x14ac:dyDescent="0.2"/>
    <row r="97" ht="15" hidden="1" customHeight="1" x14ac:dyDescent="0.2"/>
    <row r="98" ht="15" hidden="1" customHeight="1" x14ac:dyDescent="0.2"/>
    <row r="99" ht="15" hidden="1" customHeight="1" x14ac:dyDescent="0.2"/>
    <row r="100" ht="15" hidden="1" customHeight="1" x14ac:dyDescent="0.2"/>
    <row r="101" ht="15" hidden="1" customHeight="1" x14ac:dyDescent="0.2"/>
    <row r="102" ht="15" hidden="1" customHeight="1" x14ac:dyDescent="0.2"/>
    <row r="103" ht="15" hidden="1" customHeight="1" x14ac:dyDescent="0.2"/>
    <row r="104" ht="15" hidden="1" customHeight="1" x14ac:dyDescent="0.2"/>
    <row r="105" ht="15" hidden="1" customHeight="1" x14ac:dyDescent="0.2"/>
    <row r="106" ht="15" hidden="1" customHeight="1" x14ac:dyDescent="0.2"/>
    <row r="107" ht="15" hidden="1" customHeight="1" x14ac:dyDescent="0.2"/>
    <row r="108" ht="15" hidden="1" customHeight="1" x14ac:dyDescent="0.2"/>
    <row r="109" ht="15" hidden="1" customHeight="1" x14ac:dyDescent="0.2"/>
    <row r="110" ht="15" hidden="1" customHeight="1" x14ac:dyDescent="0.2"/>
    <row r="111" ht="15" hidden="1" customHeight="1" x14ac:dyDescent="0.2"/>
    <row r="112" ht="15" hidden="1" customHeight="1" x14ac:dyDescent="0.2"/>
    <row r="113" ht="15" hidden="1" customHeight="1" x14ac:dyDescent="0.2"/>
    <row r="114" ht="15" hidden="1" customHeight="1" x14ac:dyDescent="0.2"/>
    <row r="115" ht="15" hidden="1" customHeight="1" x14ac:dyDescent="0.2"/>
    <row r="116" ht="15" hidden="1" customHeight="1" x14ac:dyDescent="0.2"/>
    <row r="117" ht="15" hidden="1" customHeight="1" x14ac:dyDescent="0.2"/>
    <row r="118" ht="15" hidden="1" customHeight="1" x14ac:dyDescent="0.2"/>
    <row r="119" ht="15" hidden="1" customHeight="1" x14ac:dyDescent="0.2"/>
    <row r="120" ht="15" hidden="1" customHeight="1" x14ac:dyDescent="0.2"/>
    <row r="121" ht="15" hidden="1" customHeight="1" x14ac:dyDescent="0.2"/>
    <row r="122" ht="15" hidden="1" customHeight="1" x14ac:dyDescent="0.2"/>
    <row r="123" ht="15" hidden="1" customHeight="1" x14ac:dyDescent="0.2"/>
    <row r="124" ht="15" hidden="1" customHeight="1" x14ac:dyDescent="0.2"/>
    <row r="125" ht="15" hidden="1" customHeight="1" x14ac:dyDescent="0.2"/>
    <row r="126" ht="15" hidden="1" customHeight="1" x14ac:dyDescent="0.2"/>
    <row r="127" ht="15" hidden="1" customHeight="1" x14ac:dyDescent="0.2"/>
    <row r="128" ht="15" hidden="1" customHeight="1" x14ac:dyDescent="0.2"/>
    <row r="129" ht="15" hidden="1" customHeight="1" x14ac:dyDescent="0.2"/>
    <row r="130" ht="15" hidden="1" customHeight="1" x14ac:dyDescent="0.2"/>
    <row r="131" ht="15" hidden="1" customHeight="1" x14ac:dyDescent="0.2"/>
    <row r="132" ht="15" hidden="1" customHeight="1" x14ac:dyDescent="0.2"/>
    <row r="133" ht="15" hidden="1" customHeight="1" x14ac:dyDescent="0.2"/>
    <row r="134" ht="15" hidden="1" customHeight="1" x14ac:dyDescent="0.2"/>
    <row r="135" ht="15" hidden="1" customHeight="1" x14ac:dyDescent="0.2"/>
    <row r="136" ht="15" hidden="1" customHeight="1" x14ac:dyDescent="0.2"/>
    <row r="137" ht="15" hidden="1" customHeight="1" x14ac:dyDescent="0.2"/>
    <row r="138" ht="15" hidden="1" customHeight="1" x14ac:dyDescent="0.2"/>
    <row r="139" ht="15" hidden="1" customHeight="1" x14ac:dyDescent="0.2"/>
    <row r="140" ht="15" hidden="1" customHeight="1" x14ac:dyDescent="0.2"/>
    <row r="141" ht="15" hidden="1" customHeight="1" x14ac:dyDescent="0.2"/>
    <row r="142" ht="15" hidden="1" customHeight="1" x14ac:dyDescent="0.2"/>
    <row r="143" ht="15" hidden="1" customHeight="1" x14ac:dyDescent="0.2"/>
    <row r="144" ht="15" hidden="1" customHeight="1" x14ac:dyDescent="0.2"/>
    <row r="145" ht="15" hidden="1" customHeight="1" x14ac:dyDescent="0.2"/>
    <row r="146" ht="15" hidden="1" customHeight="1" x14ac:dyDescent="0.2"/>
    <row r="147" ht="15" hidden="1" customHeight="1" x14ac:dyDescent="0.2"/>
    <row r="148" ht="15" hidden="1" customHeight="1" x14ac:dyDescent="0.2"/>
    <row r="149" ht="15" hidden="1" customHeight="1" x14ac:dyDescent="0.2"/>
    <row r="150" ht="15" hidden="1" customHeight="1" x14ac:dyDescent="0.2"/>
    <row r="151" ht="15" hidden="1" customHeight="1" x14ac:dyDescent="0.2"/>
    <row r="152" ht="15" hidden="1" customHeight="1" x14ac:dyDescent="0.2"/>
    <row r="153" ht="15" hidden="1" customHeight="1" x14ac:dyDescent="0.2"/>
    <row r="154" ht="15" hidden="1" customHeight="1" x14ac:dyDescent="0.2"/>
    <row r="155" ht="15" hidden="1" customHeight="1" x14ac:dyDescent="0.2"/>
    <row r="156" ht="15" hidden="1" customHeight="1" x14ac:dyDescent="0.2"/>
    <row r="157" ht="15" hidden="1" customHeight="1" x14ac:dyDescent="0.2"/>
    <row r="158" ht="15" hidden="1" customHeight="1" x14ac:dyDescent="0.2"/>
    <row r="159" ht="15" hidden="1" customHeight="1" x14ac:dyDescent="0.2"/>
    <row r="160" ht="15" hidden="1" customHeight="1" x14ac:dyDescent="0.2"/>
    <row r="161" ht="15" hidden="1" customHeight="1" x14ac:dyDescent="0.2"/>
    <row r="162" ht="15" hidden="1" customHeight="1" x14ac:dyDescent="0.2"/>
    <row r="163" ht="15" hidden="1" customHeight="1" x14ac:dyDescent="0.2"/>
    <row r="164" ht="15" hidden="1" customHeight="1" x14ac:dyDescent="0.2"/>
    <row r="165" ht="15" hidden="1" customHeight="1" x14ac:dyDescent="0.2"/>
    <row r="166" ht="15" hidden="1" customHeight="1" x14ac:dyDescent="0.2"/>
    <row r="167" ht="15" hidden="1" customHeight="1" x14ac:dyDescent="0.2"/>
    <row r="168" ht="15" hidden="1" customHeight="1" x14ac:dyDescent="0.2"/>
    <row r="169" ht="15" hidden="1" customHeight="1" x14ac:dyDescent="0.2"/>
    <row r="170" ht="15" hidden="1" customHeight="1" x14ac:dyDescent="0.2"/>
    <row r="171" ht="15" hidden="1" customHeight="1" x14ac:dyDescent="0.2"/>
    <row r="172" ht="15" hidden="1" customHeight="1" x14ac:dyDescent="0.2"/>
    <row r="173" ht="15" hidden="1" customHeight="1" x14ac:dyDescent="0.2"/>
    <row r="174" ht="15" hidden="1" customHeight="1" x14ac:dyDescent="0.2"/>
    <row r="175" ht="15" hidden="1" customHeight="1" x14ac:dyDescent="0.2"/>
    <row r="176" ht="15" hidden="1" customHeight="1" x14ac:dyDescent="0.2"/>
    <row r="177" ht="15" hidden="1" customHeight="1" x14ac:dyDescent="0.2"/>
    <row r="178" ht="15" hidden="1" customHeight="1" x14ac:dyDescent="0.2"/>
    <row r="179" ht="15" hidden="1" customHeight="1" x14ac:dyDescent="0.2"/>
    <row r="180" ht="15" hidden="1" customHeight="1" x14ac:dyDescent="0.2"/>
    <row r="181" ht="15" hidden="1" customHeight="1" x14ac:dyDescent="0.2"/>
    <row r="182" ht="15" hidden="1" customHeight="1" x14ac:dyDescent="0.2"/>
    <row r="183" ht="15" hidden="1" customHeight="1" x14ac:dyDescent="0.2"/>
    <row r="184" ht="15" hidden="1" customHeight="1" x14ac:dyDescent="0.2"/>
    <row r="185" ht="15" hidden="1" customHeight="1" x14ac:dyDescent="0.2"/>
    <row r="186" ht="15" hidden="1" customHeight="1" x14ac:dyDescent="0.2"/>
    <row r="187" ht="15" hidden="1" customHeight="1" x14ac:dyDescent="0.2"/>
    <row r="188" ht="15" hidden="1" customHeight="1" x14ac:dyDescent="0.2"/>
    <row r="189" ht="15" hidden="1" customHeight="1" x14ac:dyDescent="0.2"/>
    <row r="190" ht="15" hidden="1" customHeight="1" x14ac:dyDescent="0.2"/>
    <row r="191" ht="15" hidden="1" customHeight="1" x14ac:dyDescent="0.2"/>
    <row r="192" ht="15" hidden="1" customHeight="1" x14ac:dyDescent="0.2"/>
    <row r="193" ht="15" hidden="1" customHeight="1" x14ac:dyDescent="0.2"/>
    <row r="194" ht="15" hidden="1" customHeight="1" x14ac:dyDescent="0.2"/>
    <row r="195" ht="15" hidden="1" customHeight="1" x14ac:dyDescent="0.2"/>
    <row r="196" ht="15" hidden="1" customHeight="1" x14ac:dyDescent="0.2"/>
    <row r="197" ht="15" hidden="1" customHeight="1" x14ac:dyDescent="0.2"/>
    <row r="198" ht="15" hidden="1" customHeight="1" x14ac:dyDescent="0.2"/>
    <row r="199" ht="15" hidden="1" customHeight="1" x14ac:dyDescent="0.2"/>
    <row r="200" ht="15" hidden="1" customHeight="1" x14ac:dyDescent="0.2"/>
    <row r="201" ht="15" hidden="1" customHeight="1" x14ac:dyDescent="0.2"/>
    <row r="202" ht="15" hidden="1" customHeight="1" x14ac:dyDescent="0.2"/>
    <row r="203" ht="15" hidden="1" customHeight="1" x14ac:dyDescent="0.2"/>
    <row r="204" ht="15" hidden="1" customHeight="1" x14ac:dyDescent="0.2"/>
    <row r="205" ht="15" hidden="1" customHeight="1" x14ac:dyDescent="0.2"/>
    <row r="206" ht="15" hidden="1" customHeight="1" x14ac:dyDescent="0.2"/>
    <row r="207" ht="15" hidden="1" customHeight="1" x14ac:dyDescent="0.2"/>
    <row r="208" ht="15" hidden="1" customHeight="1" x14ac:dyDescent="0.2"/>
    <row r="209" ht="15" hidden="1" customHeight="1" x14ac:dyDescent="0.2"/>
    <row r="210" ht="15" hidden="1" customHeight="1" x14ac:dyDescent="0.2"/>
    <row r="211" ht="15" hidden="1" customHeight="1" x14ac:dyDescent="0.2"/>
    <row r="212" ht="15" hidden="1" customHeight="1" x14ac:dyDescent="0.2"/>
    <row r="213" ht="15" hidden="1" customHeight="1" x14ac:dyDescent="0.2"/>
    <row r="214" ht="15" hidden="1" customHeight="1" x14ac:dyDescent="0.2"/>
    <row r="215" ht="15" hidden="1" customHeight="1" x14ac:dyDescent="0.2"/>
    <row r="216" ht="15" hidden="1" customHeight="1" x14ac:dyDescent="0.2"/>
    <row r="217" ht="15" hidden="1" customHeight="1" x14ac:dyDescent="0.2"/>
    <row r="218" ht="15" hidden="1" customHeight="1" x14ac:dyDescent="0.2"/>
    <row r="219" ht="15" hidden="1" customHeight="1" x14ac:dyDescent="0.2"/>
    <row r="220" ht="15" hidden="1" customHeight="1" x14ac:dyDescent="0.2"/>
    <row r="221" ht="15" hidden="1" customHeight="1" x14ac:dyDescent="0.2"/>
    <row r="222" ht="15" hidden="1" customHeight="1" x14ac:dyDescent="0.2"/>
    <row r="223" ht="15" hidden="1" customHeight="1" x14ac:dyDescent="0.2"/>
    <row r="224" ht="15" hidden="1" customHeight="1" x14ac:dyDescent="0.2"/>
    <row r="225" ht="15" hidden="1" customHeight="1" x14ac:dyDescent="0.2"/>
    <row r="226" ht="15" hidden="1" customHeight="1" x14ac:dyDescent="0.2"/>
    <row r="227" ht="15" hidden="1" customHeight="1" x14ac:dyDescent="0.2"/>
    <row r="228" ht="15" hidden="1" customHeight="1" x14ac:dyDescent="0.2"/>
    <row r="229" ht="15" hidden="1" customHeight="1" x14ac:dyDescent="0.2"/>
    <row r="230" ht="15" hidden="1" customHeight="1" x14ac:dyDescent="0.2"/>
    <row r="231" ht="15" hidden="1" customHeight="1" x14ac:dyDescent="0.2"/>
    <row r="232" ht="15" hidden="1" customHeight="1" x14ac:dyDescent="0.2"/>
    <row r="233" ht="15" hidden="1" customHeight="1" x14ac:dyDescent="0.2"/>
    <row r="234" ht="15" hidden="1" customHeight="1" x14ac:dyDescent="0.2"/>
    <row r="235" ht="15" hidden="1" customHeight="1" x14ac:dyDescent="0.2"/>
    <row r="236" ht="15" hidden="1" customHeight="1" x14ac:dyDescent="0.2"/>
    <row r="237" ht="15" hidden="1" customHeight="1" x14ac:dyDescent="0.2"/>
    <row r="238" ht="15" hidden="1" customHeight="1" x14ac:dyDescent="0.2"/>
    <row r="239" ht="15" hidden="1" customHeight="1" x14ac:dyDescent="0.2"/>
    <row r="240" ht="15" hidden="1" customHeight="1" x14ac:dyDescent="0.2"/>
    <row r="241" ht="15" hidden="1" customHeight="1" x14ac:dyDescent="0.2"/>
    <row r="242" ht="15" hidden="1" customHeight="1" x14ac:dyDescent="0.2"/>
    <row r="243" ht="15" hidden="1" customHeight="1" x14ac:dyDescent="0.2"/>
    <row r="244" ht="15" hidden="1" customHeight="1" x14ac:dyDescent="0.2"/>
    <row r="245" ht="15" hidden="1" customHeight="1" x14ac:dyDescent="0.2"/>
    <row r="246" ht="15" hidden="1" customHeight="1" x14ac:dyDescent="0.2"/>
    <row r="247" ht="15" hidden="1" customHeight="1" x14ac:dyDescent="0.2"/>
    <row r="248" ht="15" hidden="1" customHeight="1" x14ac:dyDescent="0.2"/>
    <row r="249" ht="15" hidden="1" customHeight="1" x14ac:dyDescent="0.2"/>
    <row r="250" ht="15" hidden="1" customHeight="1" x14ac:dyDescent="0.2"/>
    <row r="251" ht="15" hidden="1" customHeight="1" x14ac:dyDescent="0.2"/>
    <row r="252" ht="15" hidden="1" customHeight="1" x14ac:dyDescent="0.2"/>
    <row r="253" ht="15" hidden="1" customHeight="1" x14ac:dyDescent="0.2"/>
    <row r="254" ht="15" hidden="1" customHeight="1" x14ac:dyDescent="0.2"/>
    <row r="255" ht="15" hidden="1" customHeight="1" x14ac:dyDescent="0.2"/>
    <row r="256" ht="15" hidden="1" customHeight="1" x14ac:dyDescent="0.2"/>
    <row r="257" ht="15" hidden="1" customHeight="1" x14ac:dyDescent="0.2"/>
    <row r="258" ht="15" hidden="1" customHeight="1" x14ac:dyDescent="0.2"/>
    <row r="259" ht="15" hidden="1" customHeight="1" x14ac:dyDescent="0.2"/>
    <row r="260" ht="15" hidden="1" customHeight="1" x14ac:dyDescent="0.2"/>
    <row r="261" ht="15" hidden="1" customHeight="1" x14ac:dyDescent="0.2"/>
    <row r="262" ht="15" hidden="1" customHeight="1" x14ac:dyDescent="0.2"/>
    <row r="263" ht="15" hidden="1" customHeight="1" x14ac:dyDescent="0.2"/>
    <row r="264" ht="15" hidden="1" customHeight="1" x14ac:dyDescent="0.2"/>
    <row r="265" ht="15" hidden="1" customHeight="1" x14ac:dyDescent="0.2"/>
    <row r="266" ht="15" hidden="1" customHeight="1" x14ac:dyDescent="0.2"/>
    <row r="267" ht="15" hidden="1" customHeight="1" x14ac:dyDescent="0.2"/>
    <row r="268" ht="15" hidden="1" customHeight="1" x14ac:dyDescent="0.2"/>
    <row r="269" ht="15" hidden="1" customHeight="1" x14ac:dyDescent="0.2"/>
    <row r="270" ht="15" hidden="1" customHeight="1" x14ac:dyDescent="0.2"/>
    <row r="271" ht="15" hidden="1" customHeight="1" x14ac:dyDescent="0.2"/>
    <row r="272" ht="15" hidden="1" customHeight="1" x14ac:dyDescent="0.2"/>
    <row r="273" ht="15" hidden="1" customHeight="1" x14ac:dyDescent="0.2"/>
    <row r="274" ht="15" hidden="1" customHeight="1" x14ac:dyDescent="0.2"/>
    <row r="275" ht="15" hidden="1" customHeight="1" x14ac:dyDescent="0.2"/>
    <row r="276" ht="15" hidden="1" customHeight="1" x14ac:dyDescent="0.2"/>
    <row r="277" ht="15" hidden="1" customHeight="1" x14ac:dyDescent="0.2"/>
    <row r="278" ht="15" hidden="1" customHeight="1" x14ac:dyDescent="0.2"/>
    <row r="279" ht="15" hidden="1" customHeight="1" x14ac:dyDescent="0.2"/>
    <row r="280" ht="15" hidden="1" customHeight="1" x14ac:dyDescent="0.2"/>
    <row r="281" ht="15" hidden="1" customHeight="1" x14ac:dyDescent="0.2"/>
    <row r="282" ht="15" hidden="1" customHeight="1" x14ac:dyDescent="0.2"/>
    <row r="283" ht="15" hidden="1" customHeight="1" x14ac:dyDescent="0.2"/>
    <row r="284" ht="15" hidden="1" customHeight="1" x14ac:dyDescent="0.2"/>
    <row r="285" ht="15" hidden="1" customHeight="1" x14ac:dyDescent="0.2"/>
    <row r="286" ht="15" hidden="1" customHeight="1" x14ac:dyDescent="0.2"/>
    <row r="287" ht="15" hidden="1" customHeight="1" x14ac:dyDescent="0.2"/>
    <row r="288" ht="15" hidden="1" customHeight="1" x14ac:dyDescent="0.2"/>
    <row r="289" ht="15" hidden="1" customHeight="1" x14ac:dyDescent="0.2"/>
    <row r="290" ht="15" hidden="1" customHeight="1" x14ac:dyDescent="0.2"/>
    <row r="291" ht="15" hidden="1" customHeight="1" x14ac:dyDescent="0.2"/>
    <row r="292" ht="15" hidden="1" customHeight="1" x14ac:dyDescent="0.2"/>
    <row r="293" ht="15" hidden="1" customHeight="1" x14ac:dyDescent="0.2"/>
    <row r="294" ht="15" hidden="1" customHeight="1" x14ac:dyDescent="0.2"/>
    <row r="295" ht="15" hidden="1" customHeight="1" x14ac:dyDescent="0.2"/>
    <row r="296" ht="15" hidden="1" customHeight="1" x14ac:dyDescent="0.2"/>
    <row r="297" ht="15" hidden="1" customHeight="1" x14ac:dyDescent="0.2"/>
    <row r="298" ht="15" hidden="1" customHeight="1" x14ac:dyDescent="0.2"/>
    <row r="299" ht="15" hidden="1" customHeight="1" x14ac:dyDescent="0.2"/>
    <row r="300" ht="15" hidden="1" customHeight="1" x14ac:dyDescent="0.2"/>
    <row r="301" ht="15" hidden="1" customHeight="1" x14ac:dyDescent="0.2"/>
    <row r="302" ht="15" hidden="1" customHeight="1" x14ac:dyDescent="0.2"/>
    <row r="303" ht="15" hidden="1" customHeight="1" x14ac:dyDescent="0.2"/>
    <row r="304" ht="15" hidden="1" customHeight="1" x14ac:dyDescent="0.2"/>
    <row r="305" ht="15" hidden="1" customHeight="1" x14ac:dyDescent="0.2"/>
    <row r="306" ht="15" hidden="1" customHeight="1" x14ac:dyDescent="0.2"/>
    <row r="307" ht="15" hidden="1" customHeight="1" x14ac:dyDescent="0.2"/>
    <row r="308" ht="15" hidden="1" customHeight="1" x14ac:dyDescent="0.2"/>
    <row r="309" ht="15" hidden="1" customHeight="1" x14ac:dyDescent="0.2"/>
    <row r="310" ht="15" hidden="1" customHeight="1" x14ac:dyDescent="0.2"/>
    <row r="311" ht="15" hidden="1" customHeight="1" x14ac:dyDescent="0.2"/>
    <row r="312" ht="15" hidden="1" customHeight="1" x14ac:dyDescent="0.2"/>
    <row r="313" ht="15" hidden="1" customHeight="1" x14ac:dyDescent="0.2"/>
    <row r="314" ht="15" hidden="1" customHeight="1" x14ac:dyDescent="0.2"/>
    <row r="315" ht="15" hidden="1" customHeight="1" x14ac:dyDescent="0.2"/>
    <row r="316" ht="15" hidden="1" customHeight="1" x14ac:dyDescent="0.2"/>
    <row r="317" ht="15" hidden="1" customHeight="1" x14ac:dyDescent="0.2"/>
    <row r="318" ht="15" hidden="1" customHeight="1" x14ac:dyDescent="0.2"/>
    <row r="319" ht="15" hidden="1" customHeight="1" x14ac:dyDescent="0.2"/>
    <row r="320" ht="15" hidden="1" customHeight="1" x14ac:dyDescent="0.2"/>
    <row r="321" ht="15" hidden="1" customHeight="1" x14ac:dyDescent="0.2"/>
    <row r="322" ht="15" hidden="1" customHeight="1" x14ac:dyDescent="0.2"/>
    <row r="323" ht="15" hidden="1" customHeight="1" x14ac:dyDescent="0.2"/>
    <row r="324" ht="15" hidden="1" customHeight="1" x14ac:dyDescent="0.2"/>
    <row r="325" ht="15" hidden="1" customHeight="1" x14ac:dyDescent="0.2"/>
    <row r="326" ht="15" hidden="1" customHeight="1" x14ac:dyDescent="0.2"/>
    <row r="327" ht="15" hidden="1" customHeight="1" x14ac:dyDescent="0.2"/>
    <row r="328" ht="15" hidden="1" customHeight="1" x14ac:dyDescent="0.2"/>
    <row r="329" ht="15" hidden="1" customHeight="1" x14ac:dyDescent="0.2"/>
    <row r="330" ht="15" hidden="1" customHeight="1" x14ac:dyDescent="0.2"/>
    <row r="331" ht="15" hidden="1" customHeight="1" x14ac:dyDescent="0.2"/>
    <row r="332" ht="15" hidden="1" customHeight="1" x14ac:dyDescent="0.2"/>
    <row r="333" ht="15" hidden="1" customHeight="1" x14ac:dyDescent="0.2"/>
    <row r="334" ht="15" hidden="1" customHeight="1" x14ac:dyDescent="0.2"/>
    <row r="335" ht="15" hidden="1" customHeight="1" x14ac:dyDescent="0.2"/>
    <row r="336" ht="15" hidden="1" customHeight="1" x14ac:dyDescent="0.2"/>
    <row r="337" ht="15" hidden="1" customHeight="1" x14ac:dyDescent="0.2"/>
    <row r="338" ht="15" hidden="1" customHeight="1" x14ac:dyDescent="0.2"/>
    <row r="339" ht="15" hidden="1" customHeight="1" x14ac:dyDescent="0.2"/>
    <row r="340" ht="15" hidden="1" customHeight="1" x14ac:dyDescent="0.2"/>
    <row r="341" ht="15" hidden="1" customHeight="1" x14ac:dyDescent="0.2"/>
    <row r="342" ht="15" hidden="1" customHeight="1" x14ac:dyDescent="0.2"/>
    <row r="343" ht="15" hidden="1" customHeight="1" x14ac:dyDescent="0.2"/>
    <row r="344" ht="15" hidden="1" customHeight="1" x14ac:dyDescent="0.2"/>
    <row r="345" ht="15" hidden="1" customHeight="1" x14ac:dyDescent="0.2"/>
    <row r="346" ht="15" hidden="1" customHeight="1" x14ac:dyDescent="0.2"/>
    <row r="347" ht="15" hidden="1" customHeight="1" x14ac:dyDescent="0.2"/>
    <row r="348" ht="15" hidden="1" customHeight="1" x14ac:dyDescent="0.2"/>
    <row r="349" ht="15" hidden="1" customHeight="1" x14ac:dyDescent="0.2"/>
    <row r="350" ht="15" hidden="1" customHeight="1" x14ac:dyDescent="0.2"/>
    <row r="351" ht="15" hidden="1" customHeight="1" x14ac:dyDescent="0.2"/>
    <row r="352" ht="15" hidden="1" customHeight="1" x14ac:dyDescent="0.2"/>
    <row r="353" ht="15" hidden="1" customHeight="1" x14ac:dyDescent="0.2"/>
    <row r="354" ht="15" hidden="1" customHeight="1" x14ac:dyDescent="0.2"/>
    <row r="355" ht="15" hidden="1" customHeight="1" x14ac:dyDescent="0.2"/>
    <row r="356" ht="15" hidden="1" customHeight="1" x14ac:dyDescent="0.2"/>
    <row r="357" ht="15" hidden="1" customHeight="1" x14ac:dyDescent="0.2"/>
    <row r="358" ht="15" hidden="1" customHeight="1" x14ac:dyDescent="0.2"/>
    <row r="359" ht="15" hidden="1" customHeight="1" x14ac:dyDescent="0.2"/>
    <row r="360" ht="15" hidden="1" customHeight="1" x14ac:dyDescent="0.2"/>
    <row r="361" ht="15" hidden="1" customHeight="1" x14ac:dyDescent="0.2"/>
    <row r="362" ht="15" hidden="1" customHeight="1" x14ac:dyDescent="0.2"/>
    <row r="363" ht="15" hidden="1" customHeight="1" x14ac:dyDescent="0.2"/>
    <row r="364" ht="15" hidden="1" customHeight="1" x14ac:dyDescent="0.2"/>
    <row r="365" ht="15" hidden="1" customHeight="1" x14ac:dyDescent="0.2"/>
    <row r="366" ht="15" hidden="1" customHeight="1" x14ac:dyDescent="0.2"/>
    <row r="367" ht="15" hidden="1" customHeight="1" x14ac:dyDescent="0.2"/>
    <row r="368" ht="15" hidden="1" customHeight="1" x14ac:dyDescent="0.2"/>
    <row r="369" ht="15" hidden="1" customHeight="1" x14ac:dyDescent="0.2"/>
    <row r="370" ht="15" hidden="1" customHeight="1" x14ac:dyDescent="0.2"/>
    <row r="371" ht="15" hidden="1" customHeight="1" x14ac:dyDescent="0.2"/>
    <row r="372" ht="15" hidden="1" customHeight="1" x14ac:dyDescent="0.2"/>
    <row r="373" ht="15" hidden="1" customHeight="1" x14ac:dyDescent="0.2"/>
    <row r="374" ht="15" hidden="1" customHeight="1" x14ac:dyDescent="0.2"/>
    <row r="375" ht="15" hidden="1" customHeight="1" x14ac:dyDescent="0.2"/>
    <row r="376" ht="15" hidden="1" customHeight="1" x14ac:dyDescent="0.2"/>
    <row r="377" ht="15" hidden="1" customHeight="1" x14ac:dyDescent="0.2"/>
    <row r="378" ht="15" hidden="1" customHeight="1" x14ac:dyDescent="0.2"/>
    <row r="379" ht="15" hidden="1" customHeight="1" x14ac:dyDescent="0.2"/>
    <row r="380" ht="15" hidden="1" customHeight="1" x14ac:dyDescent="0.2"/>
    <row r="381" ht="15" hidden="1" customHeight="1" x14ac:dyDescent="0.2"/>
    <row r="382" ht="15" hidden="1" customHeight="1" x14ac:dyDescent="0.2"/>
    <row r="383" ht="15" hidden="1" customHeight="1" x14ac:dyDescent="0.2"/>
    <row r="384" ht="15" hidden="1" customHeight="1" x14ac:dyDescent="0.2"/>
    <row r="385" ht="15" hidden="1" customHeight="1" x14ac:dyDescent="0.2"/>
    <row r="386" ht="15" hidden="1" customHeight="1" x14ac:dyDescent="0.2"/>
    <row r="387" ht="15" hidden="1" customHeight="1" x14ac:dyDescent="0.2"/>
    <row r="388" ht="15" hidden="1" customHeight="1" x14ac:dyDescent="0.2"/>
    <row r="389" ht="15" hidden="1" customHeight="1" x14ac:dyDescent="0.2"/>
    <row r="390" ht="15" hidden="1" customHeight="1" x14ac:dyDescent="0.2"/>
    <row r="391" ht="15" hidden="1" customHeight="1" x14ac:dyDescent="0.2"/>
    <row r="392" ht="15" hidden="1" customHeight="1" x14ac:dyDescent="0.2"/>
    <row r="393" ht="15" hidden="1" customHeight="1" x14ac:dyDescent="0.2"/>
    <row r="394" ht="15" hidden="1" customHeight="1" x14ac:dyDescent="0.2"/>
    <row r="395" ht="15" hidden="1" customHeight="1" x14ac:dyDescent="0.2"/>
    <row r="396" ht="15" hidden="1" customHeight="1" x14ac:dyDescent="0.2"/>
    <row r="397" ht="15" hidden="1" customHeight="1" x14ac:dyDescent="0.2"/>
    <row r="398" ht="15" hidden="1" customHeight="1" x14ac:dyDescent="0.2"/>
    <row r="399" ht="15" hidden="1" customHeight="1" x14ac:dyDescent="0.2"/>
    <row r="400" ht="15" hidden="1" customHeight="1" x14ac:dyDescent="0.2"/>
    <row r="401" ht="15" hidden="1" customHeight="1" x14ac:dyDescent="0.2"/>
    <row r="402" ht="15" hidden="1" customHeight="1" x14ac:dyDescent="0.2"/>
    <row r="403" ht="15" hidden="1" customHeight="1" x14ac:dyDescent="0.2"/>
    <row r="404" ht="15" hidden="1" customHeight="1" x14ac:dyDescent="0.2"/>
    <row r="405" ht="15" hidden="1" customHeight="1" x14ac:dyDescent="0.2"/>
    <row r="406" ht="15" hidden="1" customHeight="1" x14ac:dyDescent="0.2"/>
    <row r="407" ht="15" hidden="1" customHeight="1" x14ac:dyDescent="0.2"/>
    <row r="408" ht="15" hidden="1" customHeight="1" x14ac:dyDescent="0.2"/>
    <row r="409" ht="15" hidden="1" customHeight="1" x14ac:dyDescent="0.2"/>
    <row r="410" ht="15" hidden="1" customHeight="1" x14ac:dyDescent="0.2"/>
    <row r="411" ht="15" hidden="1" customHeight="1" x14ac:dyDescent="0.2"/>
    <row r="412" ht="15" hidden="1" customHeight="1" x14ac:dyDescent="0.2"/>
    <row r="413" ht="15" hidden="1" customHeight="1" x14ac:dyDescent="0.2"/>
    <row r="414" ht="15" hidden="1" customHeight="1" x14ac:dyDescent="0.2"/>
    <row r="415" ht="15" hidden="1" customHeight="1" x14ac:dyDescent="0.2"/>
    <row r="416" ht="15" hidden="1" customHeight="1" x14ac:dyDescent="0.2"/>
    <row r="417" ht="15" hidden="1" customHeight="1" x14ac:dyDescent="0.2"/>
    <row r="418" ht="15" hidden="1" customHeight="1" x14ac:dyDescent="0.2"/>
    <row r="419" ht="15" hidden="1" customHeight="1" x14ac:dyDescent="0.2"/>
    <row r="420" ht="15" hidden="1" customHeight="1" x14ac:dyDescent="0.2"/>
    <row r="421" ht="15" hidden="1" customHeight="1" x14ac:dyDescent="0.2"/>
    <row r="422" ht="15" hidden="1" customHeight="1" x14ac:dyDescent="0.2"/>
    <row r="423" ht="15" hidden="1" customHeight="1" x14ac:dyDescent="0.2"/>
    <row r="424" ht="15" hidden="1" customHeight="1" x14ac:dyDescent="0.2"/>
    <row r="425" ht="15" hidden="1" customHeight="1" x14ac:dyDescent="0.2"/>
    <row r="426" ht="15" hidden="1" customHeight="1" x14ac:dyDescent="0.2"/>
    <row r="427" ht="15" hidden="1" customHeight="1" x14ac:dyDescent="0.2"/>
    <row r="428" ht="15" hidden="1" customHeight="1" x14ac:dyDescent="0.2"/>
    <row r="429" ht="15" hidden="1" customHeight="1" x14ac:dyDescent="0.2"/>
    <row r="430" ht="15" hidden="1" customHeight="1" x14ac:dyDescent="0.2"/>
    <row r="431" ht="15" hidden="1" customHeight="1" x14ac:dyDescent="0.2"/>
    <row r="432" ht="15" hidden="1" customHeight="1" x14ac:dyDescent="0.2"/>
    <row r="433" ht="15" hidden="1" customHeight="1" x14ac:dyDescent="0.2"/>
    <row r="434" ht="15" hidden="1" customHeight="1" x14ac:dyDescent="0.2"/>
    <row r="435" ht="15" hidden="1" customHeight="1" x14ac:dyDescent="0.2"/>
    <row r="436" ht="15" hidden="1" customHeight="1" x14ac:dyDescent="0.2"/>
    <row r="437" ht="15" hidden="1" customHeight="1" x14ac:dyDescent="0.2"/>
    <row r="438" ht="15" hidden="1" customHeight="1" x14ac:dyDescent="0.2"/>
    <row r="439" ht="15" hidden="1" customHeight="1" x14ac:dyDescent="0.2"/>
    <row r="440" ht="15" hidden="1" customHeight="1" x14ac:dyDescent="0.2"/>
    <row r="441" ht="15" hidden="1" customHeight="1" x14ac:dyDescent="0.2"/>
    <row r="442" ht="15" hidden="1" customHeight="1" x14ac:dyDescent="0.2"/>
    <row r="443" ht="15" hidden="1" customHeight="1" x14ac:dyDescent="0.2"/>
    <row r="444" ht="15" hidden="1" customHeight="1" x14ac:dyDescent="0.2"/>
    <row r="445" ht="15" hidden="1" customHeight="1" x14ac:dyDescent="0.2"/>
    <row r="446" ht="15" hidden="1" customHeight="1" x14ac:dyDescent="0.2"/>
    <row r="447" ht="15" hidden="1" customHeight="1" x14ac:dyDescent="0.2"/>
    <row r="448" ht="15" hidden="1" customHeight="1" x14ac:dyDescent="0.2"/>
    <row r="449" ht="15" hidden="1" customHeight="1" x14ac:dyDescent="0.2"/>
    <row r="450" ht="15" hidden="1" customHeight="1" x14ac:dyDescent="0.2"/>
    <row r="451" ht="15" hidden="1" customHeight="1" x14ac:dyDescent="0.2"/>
    <row r="452" ht="15" hidden="1" customHeight="1" x14ac:dyDescent="0.2"/>
    <row r="453" ht="15" hidden="1" customHeight="1" x14ac:dyDescent="0.2"/>
    <row r="454" ht="15" hidden="1" customHeight="1" x14ac:dyDescent="0.2"/>
    <row r="455" ht="15" hidden="1" customHeight="1" x14ac:dyDescent="0.2"/>
    <row r="456" ht="15" hidden="1" customHeight="1" x14ac:dyDescent="0.2"/>
    <row r="457" ht="15" hidden="1" customHeight="1" x14ac:dyDescent="0.2"/>
    <row r="458" ht="15" hidden="1" customHeight="1" x14ac:dyDescent="0.2"/>
    <row r="459" ht="15" hidden="1" customHeight="1" x14ac:dyDescent="0.2"/>
    <row r="460" ht="15" hidden="1" customHeight="1" x14ac:dyDescent="0.2"/>
    <row r="461" ht="15" hidden="1" customHeight="1" x14ac:dyDescent="0.2"/>
    <row r="462" ht="15" hidden="1" customHeight="1" x14ac:dyDescent="0.2"/>
    <row r="463" ht="15" hidden="1" customHeight="1" x14ac:dyDescent="0.2"/>
    <row r="464" ht="15" hidden="1" customHeight="1" x14ac:dyDescent="0.2"/>
    <row r="465" ht="15" hidden="1" customHeight="1" x14ac:dyDescent="0.2"/>
    <row r="466" ht="15" hidden="1" customHeight="1" x14ac:dyDescent="0.2"/>
    <row r="467" ht="15" hidden="1" customHeight="1" x14ac:dyDescent="0.2"/>
    <row r="468" ht="15" hidden="1" customHeight="1" x14ac:dyDescent="0.2"/>
    <row r="469" ht="15" hidden="1" customHeight="1" x14ac:dyDescent="0.2"/>
    <row r="470" ht="15" hidden="1" customHeight="1" x14ac:dyDescent="0.2"/>
    <row r="471" ht="15" hidden="1" customHeight="1" x14ac:dyDescent="0.2"/>
    <row r="472" ht="15" hidden="1" customHeight="1" x14ac:dyDescent="0.2"/>
    <row r="473" ht="15" hidden="1" customHeight="1" x14ac:dyDescent="0.2"/>
    <row r="474" ht="15" hidden="1" customHeight="1" x14ac:dyDescent="0.2"/>
    <row r="475" ht="15" hidden="1" customHeight="1" x14ac:dyDescent="0.2"/>
    <row r="476" ht="15" hidden="1" customHeight="1" x14ac:dyDescent="0.2"/>
    <row r="477" ht="15" hidden="1" customHeight="1" x14ac:dyDescent="0.2"/>
    <row r="478" ht="15" hidden="1" customHeight="1" x14ac:dyDescent="0.2"/>
    <row r="479" ht="15" hidden="1" customHeight="1" x14ac:dyDescent="0.2"/>
    <row r="480" ht="15" hidden="1" customHeight="1" x14ac:dyDescent="0.2"/>
    <row r="481" ht="15" hidden="1" customHeight="1" x14ac:dyDescent="0.2"/>
    <row r="482" ht="15" hidden="1" customHeight="1" x14ac:dyDescent="0.2"/>
    <row r="483" ht="15" hidden="1" customHeight="1" x14ac:dyDescent="0.2"/>
    <row r="484" ht="15" hidden="1" customHeight="1" x14ac:dyDescent="0.2"/>
    <row r="485" ht="15" hidden="1" customHeight="1" x14ac:dyDescent="0.2"/>
    <row r="486" ht="15" hidden="1" customHeight="1" x14ac:dyDescent="0.2"/>
    <row r="487" ht="15" hidden="1" customHeight="1" x14ac:dyDescent="0.2"/>
    <row r="488" ht="15" hidden="1" customHeight="1" x14ac:dyDescent="0.2"/>
    <row r="489" ht="15" hidden="1" customHeight="1" x14ac:dyDescent="0.2"/>
    <row r="490" ht="15" hidden="1" customHeight="1" x14ac:dyDescent="0.2"/>
    <row r="491" ht="15" hidden="1" customHeight="1" x14ac:dyDescent="0.2"/>
    <row r="492" ht="15" hidden="1" customHeight="1" x14ac:dyDescent="0.2"/>
    <row r="493" ht="15" hidden="1" customHeight="1" x14ac:dyDescent="0.2"/>
    <row r="494" ht="15" hidden="1" customHeight="1" x14ac:dyDescent="0.2"/>
    <row r="495" ht="15" hidden="1" customHeight="1" x14ac:dyDescent="0.2"/>
    <row r="496" ht="15" hidden="1" customHeight="1" x14ac:dyDescent="0.2"/>
    <row r="497" ht="15" hidden="1" customHeight="1" x14ac:dyDescent="0.2"/>
    <row r="498" ht="15" hidden="1" customHeight="1" x14ac:dyDescent="0.2"/>
    <row r="499" ht="15" hidden="1" customHeight="1" x14ac:dyDescent="0.2"/>
  </sheetData>
  <mergeCells count="30">
    <mergeCell ref="B23:D23"/>
    <mergeCell ref="F23:H23"/>
    <mergeCell ref="J23:L23"/>
    <mergeCell ref="N23:P23"/>
    <mergeCell ref="B26:P26"/>
    <mergeCell ref="B19:P19"/>
    <mergeCell ref="B22:D22"/>
    <mergeCell ref="F22:H22"/>
    <mergeCell ref="J22:L22"/>
    <mergeCell ref="N22:P22"/>
    <mergeCell ref="B15:D15"/>
    <mergeCell ref="F15:H15"/>
    <mergeCell ref="J15:L15"/>
    <mergeCell ref="N15:P15"/>
    <mergeCell ref="B16:D16"/>
    <mergeCell ref="F16:H16"/>
    <mergeCell ref="J16:L16"/>
    <mergeCell ref="N16:P16"/>
    <mergeCell ref="B9:D9"/>
    <mergeCell ref="F9:H9"/>
    <mergeCell ref="J9:L9"/>
    <mergeCell ref="N9:P9"/>
    <mergeCell ref="B12:P12"/>
    <mergeCell ref="B2:P2"/>
    <mergeCell ref="B3:P3"/>
    <mergeCell ref="B5:P5"/>
    <mergeCell ref="B8:D8"/>
    <mergeCell ref="F8:H8"/>
    <mergeCell ref="J8:L8"/>
    <mergeCell ref="N8:P8"/>
  </mergeCells>
  <pageMargins left="0.3" right="0.3" top="0.4" bottom="0.4" header="0.511811023622047" footer="0.511811023622047"/>
  <pageSetup paperSize="9" orientation="landscape" horizontalDpi="300" verticalDpi="300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tabColor rgb="FF2B4FFF"/>
    <pageSetUpPr fitToPage="1"/>
  </sheetPr>
  <dimension ref="B2:BG499"/>
  <sheetViews>
    <sheetView showGridLines="0" zoomScaleNormal="100" workbookViewId="0">
      <pane xSplit="1" ySplit="6" topLeftCell="B7" activePane="bottomRight" state="frozen"/>
      <selection pane="topRight" activeCell="B1" sqref="B1"/>
      <selection pane="bottomLeft" activeCell="A7" sqref="A7"/>
      <selection pane="bottomRight" activeCell="BO18" sqref="BO18"/>
    </sheetView>
  </sheetViews>
  <sheetFormatPr baseColWidth="10" defaultColWidth="8.6640625" defaultRowHeight="15" x14ac:dyDescent="0.2"/>
  <cols>
    <col min="1" max="1" width="2" customWidth="1"/>
    <col min="2" max="2" width="18" customWidth="1"/>
    <col min="3" max="3" width="22" customWidth="1"/>
    <col min="4" max="4" width="20" customWidth="1"/>
    <col min="5" max="5" width="28" customWidth="1"/>
    <col min="6" max="6" width="16" customWidth="1"/>
    <col min="7" max="7" width="32" customWidth="1"/>
    <col min="8" max="8" width="14" customWidth="1"/>
    <col min="9" max="9" width="13" customWidth="1"/>
    <col min="10" max="10" width="14" customWidth="1"/>
    <col min="11" max="11" width="16" customWidth="1"/>
    <col min="12" max="12" width="38" customWidth="1"/>
    <col min="13" max="13" width="2" hidden="1" customWidth="1"/>
    <col min="14" max="59" width="13" hidden="1" customWidth="1"/>
  </cols>
  <sheetData>
    <row r="2" spans="2:13" ht="36" customHeight="1" x14ac:dyDescent="0.2">
      <c r="B2" s="14" t="s">
        <v>46</v>
      </c>
      <c r="C2" s="14"/>
      <c r="D2" s="14"/>
      <c r="E2" s="14"/>
      <c r="F2" s="14"/>
      <c r="G2" s="14"/>
      <c r="H2" s="14"/>
      <c r="I2" s="14"/>
      <c r="J2" s="14"/>
      <c r="K2" s="14"/>
      <c r="L2" s="14"/>
    </row>
    <row r="3" spans="2:13" ht="18" customHeight="1" x14ac:dyDescent="0.2">
      <c r="B3" s="13" t="s">
        <v>47</v>
      </c>
      <c r="C3" s="13"/>
      <c r="D3" s="13"/>
      <c r="E3" s="13"/>
      <c r="F3" s="13"/>
      <c r="G3" s="13"/>
      <c r="H3" s="13"/>
      <c r="I3" s="13"/>
      <c r="J3" s="13"/>
      <c r="K3" s="13"/>
      <c r="L3" s="13"/>
    </row>
    <row r="4" spans="2:13" ht="9.75" customHeight="1" x14ac:dyDescent="0.2">
      <c r="B4" s="15"/>
      <c r="L4" s="16"/>
    </row>
    <row r="5" spans="2:13" ht="21.75" customHeight="1" x14ac:dyDescent="0.2">
      <c r="B5" s="15"/>
      <c r="C5" s="41" t="s">
        <v>48</v>
      </c>
      <c r="D5" s="41" t="s">
        <v>49</v>
      </c>
      <c r="E5" s="41" t="s">
        <v>50</v>
      </c>
      <c r="H5" s="41" t="s">
        <v>51</v>
      </c>
      <c r="I5" s="41" t="s">
        <v>52</v>
      </c>
      <c r="J5" s="41" t="s">
        <v>53</v>
      </c>
      <c r="K5" s="41" t="s">
        <v>54</v>
      </c>
      <c r="L5" s="42" t="s">
        <v>55</v>
      </c>
      <c r="M5" s="41" t="s">
        <v>56</v>
      </c>
    </row>
    <row r="6" spans="2:13" ht="30" customHeight="1" x14ac:dyDescent="0.2">
      <c r="B6" s="43" t="s">
        <v>57</v>
      </c>
      <c r="C6" s="44" t="s">
        <v>58</v>
      </c>
      <c r="D6" s="44" t="s">
        <v>59</v>
      </c>
      <c r="E6" s="44" t="s">
        <v>60</v>
      </c>
      <c r="F6" s="44" t="s">
        <v>61</v>
      </c>
      <c r="G6" s="44" t="s">
        <v>62</v>
      </c>
      <c r="H6" s="44" t="s">
        <v>63</v>
      </c>
      <c r="I6" s="44" t="s">
        <v>64</v>
      </c>
      <c r="J6" s="44" t="s">
        <v>65</v>
      </c>
      <c r="K6" s="44" t="s">
        <v>66</v>
      </c>
      <c r="L6" s="45" t="s">
        <v>67</v>
      </c>
    </row>
    <row r="7" spans="2:13" ht="31.5" customHeight="1" x14ac:dyDescent="0.2">
      <c r="B7" s="46"/>
      <c r="C7" s="47"/>
      <c r="D7" s="48"/>
      <c r="E7" s="49"/>
      <c r="F7" s="49"/>
      <c r="G7" s="48"/>
      <c r="H7" s="50"/>
      <c r="I7" s="51"/>
      <c r="J7" s="52" t="str">
        <f t="shared" ref="J7:J38" si="0">IF(H7="","",H7+14)</f>
        <v/>
      </c>
      <c r="K7" s="53"/>
      <c r="L7" s="54"/>
    </row>
    <row r="8" spans="2:13" ht="31.5" customHeight="1" x14ac:dyDescent="0.2">
      <c r="B8" s="55"/>
      <c r="C8" s="56"/>
      <c r="D8" s="57"/>
      <c r="E8" s="58"/>
      <c r="F8" s="58"/>
      <c r="G8" s="57"/>
      <c r="H8" s="59"/>
      <c r="I8" s="60"/>
      <c r="J8" s="61" t="str">
        <f t="shared" si="0"/>
        <v/>
      </c>
      <c r="K8" s="62"/>
      <c r="L8" s="63"/>
    </row>
    <row r="9" spans="2:13" ht="31.5" customHeight="1" x14ac:dyDescent="0.2">
      <c r="B9" s="46"/>
      <c r="C9" s="47"/>
      <c r="D9" s="48"/>
      <c r="E9" s="49"/>
      <c r="F9" s="49"/>
      <c r="G9" s="48"/>
      <c r="H9" s="50"/>
      <c r="I9" s="51"/>
      <c r="J9" s="52" t="str">
        <f t="shared" si="0"/>
        <v/>
      </c>
      <c r="K9" s="53"/>
      <c r="L9" s="54"/>
    </row>
    <row r="10" spans="2:13" ht="31.5" customHeight="1" x14ac:dyDescent="0.2">
      <c r="B10" s="55"/>
      <c r="C10" s="56"/>
      <c r="D10" s="57"/>
      <c r="E10" s="58"/>
      <c r="F10" s="58"/>
      <c r="G10" s="57"/>
      <c r="H10" s="59"/>
      <c r="I10" s="60"/>
      <c r="J10" s="61" t="str">
        <f t="shared" si="0"/>
        <v/>
      </c>
      <c r="K10" s="62"/>
      <c r="L10" s="63"/>
    </row>
    <row r="11" spans="2:13" ht="31.5" customHeight="1" x14ac:dyDescent="0.2">
      <c r="B11" s="46"/>
      <c r="C11" s="47"/>
      <c r="D11" s="48"/>
      <c r="E11" s="49"/>
      <c r="F11" s="49"/>
      <c r="G11" s="48"/>
      <c r="H11" s="50"/>
      <c r="I11" s="51"/>
      <c r="J11" s="52" t="str">
        <f t="shared" si="0"/>
        <v/>
      </c>
      <c r="K11" s="53"/>
      <c r="L11" s="54"/>
    </row>
    <row r="12" spans="2:13" ht="31.5" customHeight="1" x14ac:dyDescent="0.2">
      <c r="B12" s="55"/>
      <c r="C12" s="56"/>
      <c r="D12" s="57"/>
      <c r="E12" s="58"/>
      <c r="F12" s="58"/>
      <c r="G12" s="57"/>
      <c r="H12" s="59"/>
      <c r="I12" s="60"/>
      <c r="J12" s="61" t="str">
        <f t="shared" si="0"/>
        <v/>
      </c>
      <c r="K12" s="62"/>
      <c r="L12" s="63"/>
    </row>
    <row r="13" spans="2:13" ht="31.5" customHeight="1" x14ac:dyDescent="0.2">
      <c r="B13" s="46"/>
      <c r="C13" s="47"/>
      <c r="D13" s="48"/>
      <c r="E13" s="49"/>
      <c r="F13" s="49"/>
      <c r="G13" s="48"/>
      <c r="H13" s="50"/>
      <c r="I13" s="51"/>
      <c r="J13" s="52" t="str">
        <f t="shared" si="0"/>
        <v/>
      </c>
      <c r="K13" s="53"/>
      <c r="L13" s="54"/>
    </row>
    <row r="14" spans="2:13" ht="31.5" customHeight="1" x14ac:dyDescent="0.2">
      <c r="B14" s="55"/>
      <c r="C14" s="56"/>
      <c r="D14" s="57"/>
      <c r="E14" s="58"/>
      <c r="F14" s="58"/>
      <c r="G14" s="57"/>
      <c r="H14" s="59"/>
      <c r="I14" s="60"/>
      <c r="J14" s="61" t="str">
        <f t="shared" si="0"/>
        <v/>
      </c>
      <c r="K14" s="62"/>
      <c r="L14" s="63"/>
    </row>
    <row r="15" spans="2:13" ht="31.5" customHeight="1" x14ac:dyDescent="0.2">
      <c r="B15" s="46"/>
      <c r="C15" s="47"/>
      <c r="D15" s="48"/>
      <c r="E15" s="49"/>
      <c r="F15" s="49"/>
      <c r="G15" s="48"/>
      <c r="H15" s="50"/>
      <c r="I15" s="51"/>
      <c r="J15" s="52" t="str">
        <f t="shared" si="0"/>
        <v/>
      </c>
      <c r="K15" s="53"/>
      <c r="L15" s="54"/>
    </row>
    <row r="16" spans="2:13" ht="31.5" customHeight="1" x14ac:dyDescent="0.2">
      <c r="B16" s="55"/>
      <c r="C16" s="56"/>
      <c r="D16" s="57"/>
      <c r="E16" s="58"/>
      <c r="F16" s="58"/>
      <c r="G16" s="57"/>
      <c r="H16" s="59"/>
      <c r="I16" s="60"/>
      <c r="J16" s="61" t="str">
        <f t="shared" si="0"/>
        <v/>
      </c>
      <c r="K16" s="62"/>
      <c r="L16" s="63"/>
    </row>
    <row r="17" spans="2:12" ht="31.5" customHeight="1" x14ac:dyDescent="0.2">
      <c r="B17" s="46"/>
      <c r="C17" s="47"/>
      <c r="D17" s="48"/>
      <c r="E17" s="49"/>
      <c r="F17" s="49"/>
      <c r="G17" s="48"/>
      <c r="H17" s="50"/>
      <c r="I17" s="51"/>
      <c r="J17" s="52" t="str">
        <f t="shared" si="0"/>
        <v/>
      </c>
      <c r="K17" s="53"/>
      <c r="L17" s="54"/>
    </row>
    <row r="18" spans="2:12" ht="31.5" customHeight="1" x14ac:dyDescent="0.2">
      <c r="B18" s="55"/>
      <c r="C18" s="56"/>
      <c r="D18" s="57"/>
      <c r="E18" s="58"/>
      <c r="F18" s="58"/>
      <c r="G18" s="57"/>
      <c r="H18" s="59"/>
      <c r="I18" s="60"/>
      <c r="J18" s="61" t="str">
        <f t="shared" si="0"/>
        <v/>
      </c>
      <c r="K18" s="62"/>
      <c r="L18" s="63"/>
    </row>
    <row r="19" spans="2:12" ht="31.5" customHeight="1" x14ac:dyDescent="0.2">
      <c r="B19" s="46"/>
      <c r="C19" s="47"/>
      <c r="D19" s="48"/>
      <c r="E19" s="49"/>
      <c r="F19" s="49"/>
      <c r="G19" s="48"/>
      <c r="H19" s="50"/>
      <c r="I19" s="51"/>
      <c r="J19" s="52" t="str">
        <f t="shared" si="0"/>
        <v/>
      </c>
      <c r="K19" s="53"/>
      <c r="L19" s="54"/>
    </row>
    <row r="20" spans="2:12" ht="31.5" customHeight="1" x14ac:dyDescent="0.2">
      <c r="B20" s="55"/>
      <c r="C20" s="56"/>
      <c r="D20" s="57"/>
      <c r="E20" s="58"/>
      <c r="F20" s="58"/>
      <c r="G20" s="57"/>
      <c r="H20" s="59"/>
      <c r="I20" s="60"/>
      <c r="J20" s="61" t="str">
        <f t="shared" si="0"/>
        <v/>
      </c>
      <c r="K20" s="62"/>
      <c r="L20" s="63"/>
    </row>
    <row r="21" spans="2:12" ht="31.5" customHeight="1" x14ac:dyDescent="0.2">
      <c r="B21" s="46"/>
      <c r="C21" s="47"/>
      <c r="D21" s="48"/>
      <c r="E21" s="49"/>
      <c r="F21" s="49"/>
      <c r="G21" s="48"/>
      <c r="H21" s="50"/>
      <c r="I21" s="51"/>
      <c r="J21" s="52" t="str">
        <f t="shared" si="0"/>
        <v/>
      </c>
      <c r="K21" s="53"/>
      <c r="L21" s="54"/>
    </row>
    <row r="22" spans="2:12" ht="31.5" customHeight="1" x14ac:dyDescent="0.2">
      <c r="B22" s="55"/>
      <c r="C22" s="56"/>
      <c r="D22" s="57"/>
      <c r="E22" s="58"/>
      <c r="F22" s="58"/>
      <c r="G22" s="57"/>
      <c r="H22" s="59"/>
      <c r="I22" s="60"/>
      <c r="J22" s="61" t="str">
        <f t="shared" si="0"/>
        <v/>
      </c>
      <c r="K22" s="62"/>
      <c r="L22" s="63"/>
    </row>
    <row r="23" spans="2:12" ht="31.5" customHeight="1" x14ac:dyDescent="0.2">
      <c r="B23" s="46"/>
      <c r="C23" s="47"/>
      <c r="D23" s="48"/>
      <c r="E23" s="49"/>
      <c r="F23" s="49"/>
      <c r="G23" s="48"/>
      <c r="H23" s="50"/>
      <c r="I23" s="51"/>
      <c r="J23" s="52" t="str">
        <f t="shared" si="0"/>
        <v/>
      </c>
      <c r="K23" s="53"/>
      <c r="L23" s="54"/>
    </row>
    <row r="24" spans="2:12" ht="31.5" customHeight="1" x14ac:dyDescent="0.2">
      <c r="B24" s="55"/>
      <c r="C24" s="56"/>
      <c r="D24" s="57"/>
      <c r="E24" s="58"/>
      <c r="F24" s="58"/>
      <c r="G24" s="57"/>
      <c r="H24" s="59"/>
      <c r="I24" s="60"/>
      <c r="J24" s="61" t="str">
        <f t="shared" si="0"/>
        <v/>
      </c>
      <c r="K24" s="62"/>
      <c r="L24" s="63"/>
    </row>
    <row r="25" spans="2:12" ht="31.5" customHeight="1" x14ac:dyDescent="0.2">
      <c r="B25" s="46"/>
      <c r="C25" s="47"/>
      <c r="D25" s="48"/>
      <c r="E25" s="49"/>
      <c r="F25" s="49"/>
      <c r="G25" s="48"/>
      <c r="H25" s="50"/>
      <c r="I25" s="51"/>
      <c r="J25" s="52" t="str">
        <f t="shared" si="0"/>
        <v/>
      </c>
      <c r="K25" s="53"/>
      <c r="L25" s="54"/>
    </row>
    <row r="26" spans="2:12" ht="31.5" customHeight="1" x14ac:dyDescent="0.2">
      <c r="B26" s="55"/>
      <c r="C26" s="56"/>
      <c r="D26" s="57"/>
      <c r="E26" s="58"/>
      <c r="F26" s="58"/>
      <c r="G26" s="57"/>
      <c r="H26" s="59"/>
      <c r="I26" s="60"/>
      <c r="J26" s="61" t="str">
        <f t="shared" si="0"/>
        <v/>
      </c>
      <c r="K26" s="62"/>
      <c r="L26" s="63"/>
    </row>
    <row r="27" spans="2:12" ht="31.5" customHeight="1" x14ac:dyDescent="0.2">
      <c r="B27" s="46"/>
      <c r="C27" s="47"/>
      <c r="D27" s="48"/>
      <c r="E27" s="49"/>
      <c r="F27" s="49"/>
      <c r="G27" s="48"/>
      <c r="H27" s="50"/>
      <c r="I27" s="51"/>
      <c r="J27" s="52" t="str">
        <f t="shared" si="0"/>
        <v/>
      </c>
      <c r="K27" s="53"/>
      <c r="L27" s="54"/>
    </row>
    <row r="28" spans="2:12" ht="31.5" customHeight="1" x14ac:dyDescent="0.2">
      <c r="B28" s="55"/>
      <c r="C28" s="56"/>
      <c r="D28" s="57"/>
      <c r="E28" s="58"/>
      <c r="F28" s="58"/>
      <c r="G28" s="57"/>
      <c r="H28" s="59"/>
      <c r="I28" s="60"/>
      <c r="J28" s="61" t="str">
        <f t="shared" si="0"/>
        <v/>
      </c>
      <c r="K28" s="62"/>
      <c r="L28" s="63"/>
    </row>
    <row r="29" spans="2:12" ht="31.5" customHeight="1" x14ac:dyDescent="0.2">
      <c r="B29" s="46"/>
      <c r="C29" s="47"/>
      <c r="D29" s="48"/>
      <c r="E29" s="49"/>
      <c r="F29" s="49"/>
      <c r="G29" s="48"/>
      <c r="H29" s="50"/>
      <c r="I29" s="51"/>
      <c r="J29" s="52" t="str">
        <f t="shared" si="0"/>
        <v/>
      </c>
      <c r="K29" s="53"/>
      <c r="L29" s="54"/>
    </row>
    <row r="30" spans="2:12" ht="31.5" customHeight="1" x14ac:dyDescent="0.2">
      <c r="B30" s="55"/>
      <c r="C30" s="56"/>
      <c r="D30" s="57"/>
      <c r="E30" s="58"/>
      <c r="F30" s="58"/>
      <c r="G30" s="57"/>
      <c r="H30" s="59"/>
      <c r="I30" s="60"/>
      <c r="J30" s="61" t="str">
        <f t="shared" si="0"/>
        <v/>
      </c>
      <c r="K30" s="62"/>
      <c r="L30" s="63"/>
    </row>
    <row r="31" spans="2:12" ht="31.5" customHeight="1" x14ac:dyDescent="0.2">
      <c r="B31" s="46"/>
      <c r="C31" s="47"/>
      <c r="D31" s="48"/>
      <c r="E31" s="49"/>
      <c r="F31" s="49"/>
      <c r="G31" s="48"/>
      <c r="H31" s="50"/>
      <c r="I31" s="51"/>
      <c r="J31" s="52" t="str">
        <f t="shared" si="0"/>
        <v/>
      </c>
      <c r="K31" s="53"/>
      <c r="L31" s="54"/>
    </row>
    <row r="32" spans="2:12" ht="31.5" customHeight="1" x14ac:dyDescent="0.2">
      <c r="B32" s="55"/>
      <c r="C32" s="56"/>
      <c r="D32" s="57"/>
      <c r="E32" s="58"/>
      <c r="F32" s="58"/>
      <c r="G32" s="57"/>
      <c r="H32" s="59"/>
      <c r="I32" s="60"/>
      <c r="J32" s="61" t="str">
        <f t="shared" si="0"/>
        <v/>
      </c>
      <c r="K32" s="62"/>
      <c r="L32" s="63"/>
    </row>
    <row r="33" spans="2:12" ht="31.5" customHeight="1" x14ac:dyDescent="0.2">
      <c r="B33" s="46"/>
      <c r="C33" s="47"/>
      <c r="D33" s="48"/>
      <c r="E33" s="49"/>
      <c r="F33" s="49"/>
      <c r="G33" s="48"/>
      <c r="H33" s="50"/>
      <c r="I33" s="51"/>
      <c r="J33" s="52" t="str">
        <f t="shared" si="0"/>
        <v/>
      </c>
      <c r="K33" s="53"/>
      <c r="L33" s="54"/>
    </row>
    <row r="34" spans="2:12" ht="31.5" customHeight="1" x14ac:dyDescent="0.2">
      <c r="B34" s="55"/>
      <c r="C34" s="56"/>
      <c r="D34" s="57"/>
      <c r="E34" s="58"/>
      <c r="F34" s="58"/>
      <c r="G34" s="57"/>
      <c r="H34" s="59"/>
      <c r="I34" s="60"/>
      <c r="J34" s="61" t="str">
        <f t="shared" si="0"/>
        <v/>
      </c>
      <c r="K34" s="62"/>
      <c r="L34" s="63"/>
    </row>
    <row r="35" spans="2:12" ht="31.5" customHeight="1" x14ac:dyDescent="0.2">
      <c r="B35" s="46"/>
      <c r="C35" s="47"/>
      <c r="D35" s="48"/>
      <c r="E35" s="49"/>
      <c r="F35" s="49"/>
      <c r="G35" s="48"/>
      <c r="H35" s="50"/>
      <c r="I35" s="51"/>
      <c r="J35" s="52" t="str">
        <f t="shared" si="0"/>
        <v/>
      </c>
      <c r="K35" s="53"/>
      <c r="L35" s="54"/>
    </row>
    <row r="36" spans="2:12" ht="31.5" customHeight="1" x14ac:dyDescent="0.2">
      <c r="B36" s="55"/>
      <c r="C36" s="56"/>
      <c r="D36" s="57"/>
      <c r="E36" s="58"/>
      <c r="F36" s="58"/>
      <c r="G36" s="57"/>
      <c r="H36" s="59"/>
      <c r="I36" s="60"/>
      <c r="J36" s="61" t="str">
        <f t="shared" si="0"/>
        <v/>
      </c>
      <c r="K36" s="62"/>
      <c r="L36" s="63"/>
    </row>
    <row r="37" spans="2:12" ht="31.5" customHeight="1" x14ac:dyDescent="0.2">
      <c r="B37" s="46"/>
      <c r="C37" s="47"/>
      <c r="D37" s="48"/>
      <c r="E37" s="49"/>
      <c r="F37" s="49"/>
      <c r="G37" s="48"/>
      <c r="H37" s="50"/>
      <c r="I37" s="51"/>
      <c r="J37" s="52" t="str">
        <f t="shared" si="0"/>
        <v/>
      </c>
      <c r="K37" s="53"/>
      <c r="L37" s="54"/>
    </row>
    <row r="38" spans="2:12" ht="31.5" customHeight="1" x14ac:dyDescent="0.2">
      <c r="B38" s="55"/>
      <c r="C38" s="56"/>
      <c r="D38" s="57"/>
      <c r="E38" s="58"/>
      <c r="F38" s="58"/>
      <c r="G38" s="57"/>
      <c r="H38" s="59"/>
      <c r="I38" s="60"/>
      <c r="J38" s="61" t="str">
        <f t="shared" si="0"/>
        <v/>
      </c>
      <c r="K38" s="62"/>
      <c r="L38" s="63"/>
    </row>
    <row r="39" spans="2:12" ht="31.5" customHeight="1" x14ac:dyDescent="0.2">
      <c r="B39" s="46"/>
      <c r="C39" s="47"/>
      <c r="D39" s="48"/>
      <c r="E39" s="49"/>
      <c r="F39" s="49"/>
      <c r="G39" s="48"/>
      <c r="H39" s="50"/>
      <c r="I39" s="51"/>
      <c r="J39" s="52" t="str">
        <f t="shared" ref="J39:J66" si="1">IF(H39="","",H39+14)</f>
        <v/>
      </c>
      <c r="K39" s="53"/>
      <c r="L39" s="54"/>
    </row>
    <row r="40" spans="2:12" ht="31.5" customHeight="1" x14ac:dyDescent="0.2">
      <c r="B40" s="55"/>
      <c r="C40" s="56"/>
      <c r="D40" s="57"/>
      <c r="E40" s="58"/>
      <c r="F40" s="58"/>
      <c r="G40" s="57"/>
      <c r="H40" s="59"/>
      <c r="I40" s="60"/>
      <c r="J40" s="61" t="str">
        <f t="shared" si="1"/>
        <v/>
      </c>
      <c r="K40" s="62"/>
      <c r="L40" s="63"/>
    </row>
    <row r="41" spans="2:12" ht="31.5" customHeight="1" x14ac:dyDescent="0.2">
      <c r="B41" s="46"/>
      <c r="C41" s="47"/>
      <c r="D41" s="48"/>
      <c r="E41" s="49"/>
      <c r="F41" s="49"/>
      <c r="G41" s="48"/>
      <c r="H41" s="50"/>
      <c r="I41" s="51"/>
      <c r="J41" s="52" t="str">
        <f t="shared" si="1"/>
        <v/>
      </c>
      <c r="K41" s="53"/>
      <c r="L41" s="54"/>
    </row>
    <row r="42" spans="2:12" ht="31.5" customHeight="1" x14ac:dyDescent="0.2">
      <c r="B42" s="55"/>
      <c r="C42" s="56"/>
      <c r="D42" s="57"/>
      <c r="E42" s="58"/>
      <c r="F42" s="58"/>
      <c r="G42" s="57"/>
      <c r="H42" s="59"/>
      <c r="I42" s="60"/>
      <c r="J42" s="61" t="str">
        <f t="shared" si="1"/>
        <v/>
      </c>
      <c r="K42" s="62"/>
      <c r="L42" s="63"/>
    </row>
    <row r="43" spans="2:12" ht="31.5" customHeight="1" x14ac:dyDescent="0.2">
      <c r="B43" s="46"/>
      <c r="C43" s="47"/>
      <c r="D43" s="48"/>
      <c r="E43" s="49"/>
      <c r="F43" s="49"/>
      <c r="G43" s="48"/>
      <c r="H43" s="50"/>
      <c r="I43" s="51"/>
      <c r="J43" s="52" t="str">
        <f t="shared" si="1"/>
        <v/>
      </c>
      <c r="K43" s="53"/>
      <c r="L43" s="54"/>
    </row>
    <row r="44" spans="2:12" ht="31.5" customHeight="1" x14ac:dyDescent="0.2">
      <c r="B44" s="55"/>
      <c r="C44" s="56"/>
      <c r="D44" s="57"/>
      <c r="E44" s="58"/>
      <c r="F44" s="58"/>
      <c r="G44" s="57"/>
      <c r="H44" s="59"/>
      <c r="I44" s="60"/>
      <c r="J44" s="61" t="str">
        <f t="shared" si="1"/>
        <v/>
      </c>
      <c r="K44" s="62"/>
      <c r="L44" s="63"/>
    </row>
    <row r="45" spans="2:12" ht="31.5" customHeight="1" x14ac:dyDescent="0.2">
      <c r="B45" s="46"/>
      <c r="C45" s="47"/>
      <c r="D45" s="48"/>
      <c r="E45" s="49"/>
      <c r="F45" s="49"/>
      <c r="G45" s="48"/>
      <c r="H45" s="50"/>
      <c r="I45" s="51"/>
      <c r="J45" s="52" t="str">
        <f t="shared" si="1"/>
        <v/>
      </c>
      <c r="K45" s="53"/>
      <c r="L45" s="54"/>
    </row>
    <row r="46" spans="2:12" ht="31.5" customHeight="1" x14ac:dyDescent="0.2">
      <c r="B46" s="55"/>
      <c r="C46" s="56"/>
      <c r="D46" s="57"/>
      <c r="E46" s="58"/>
      <c r="F46" s="58"/>
      <c r="G46" s="57"/>
      <c r="H46" s="59"/>
      <c r="I46" s="60"/>
      <c r="J46" s="61" t="str">
        <f t="shared" si="1"/>
        <v/>
      </c>
      <c r="K46" s="62"/>
      <c r="L46" s="63"/>
    </row>
    <row r="47" spans="2:12" ht="31.5" customHeight="1" x14ac:dyDescent="0.2">
      <c r="B47" s="46"/>
      <c r="C47" s="47"/>
      <c r="D47" s="48"/>
      <c r="E47" s="49"/>
      <c r="F47" s="49"/>
      <c r="G47" s="48"/>
      <c r="H47" s="50"/>
      <c r="I47" s="51"/>
      <c r="J47" s="52" t="str">
        <f t="shared" si="1"/>
        <v/>
      </c>
      <c r="K47" s="53"/>
      <c r="L47" s="54"/>
    </row>
    <row r="48" spans="2:12" ht="31.5" customHeight="1" x14ac:dyDescent="0.2">
      <c r="B48" s="55"/>
      <c r="C48" s="56"/>
      <c r="D48" s="57"/>
      <c r="E48" s="58"/>
      <c r="F48" s="58"/>
      <c r="G48" s="57"/>
      <c r="H48" s="59"/>
      <c r="I48" s="60"/>
      <c r="J48" s="61" t="str">
        <f t="shared" si="1"/>
        <v/>
      </c>
      <c r="K48" s="62"/>
      <c r="L48" s="63"/>
    </row>
    <row r="49" spans="2:12" ht="31.5" customHeight="1" x14ac:dyDescent="0.2">
      <c r="B49" s="46"/>
      <c r="C49" s="47"/>
      <c r="D49" s="48"/>
      <c r="E49" s="49"/>
      <c r="F49" s="49"/>
      <c r="G49" s="48"/>
      <c r="H49" s="50"/>
      <c r="I49" s="51"/>
      <c r="J49" s="52" t="str">
        <f t="shared" si="1"/>
        <v/>
      </c>
      <c r="K49" s="53"/>
      <c r="L49" s="54"/>
    </row>
    <row r="50" spans="2:12" ht="31.5" customHeight="1" x14ac:dyDescent="0.2">
      <c r="B50" s="55"/>
      <c r="C50" s="56"/>
      <c r="D50" s="57"/>
      <c r="E50" s="58"/>
      <c r="F50" s="58"/>
      <c r="G50" s="57"/>
      <c r="H50" s="59"/>
      <c r="I50" s="60"/>
      <c r="J50" s="61" t="str">
        <f t="shared" si="1"/>
        <v/>
      </c>
      <c r="K50" s="62"/>
      <c r="L50" s="63"/>
    </row>
    <row r="51" spans="2:12" ht="31.5" customHeight="1" x14ac:dyDescent="0.2">
      <c r="B51" s="46"/>
      <c r="C51" s="47"/>
      <c r="D51" s="48"/>
      <c r="E51" s="49"/>
      <c r="F51" s="49"/>
      <c r="G51" s="48"/>
      <c r="H51" s="50"/>
      <c r="I51" s="51"/>
      <c r="J51" s="52" t="str">
        <f t="shared" si="1"/>
        <v/>
      </c>
      <c r="K51" s="53"/>
      <c r="L51" s="54"/>
    </row>
    <row r="52" spans="2:12" ht="31.5" customHeight="1" x14ac:dyDescent="0.2">
      <c r="B52" s="55"/>
      <c r="C52" s="56"/>
      <c r="D52" s="57"/>
      <c r="E52" s="58"/>
      <c r="F52" s="58"/>
      <c r="G52" s="57"/>
      <c r="H52" s="59"/>
      <c r="I52" s="60"/>
      <c r="J52" s="61" t="str">
        <f t="shared" si="1"/>
        <v/>
      </c>
      <c r="K52" s="62"/>
      <c r="L52" s="63"/>
    </row>
    <row r="53" spans="2:12" ht="31.5" customHeight="1" x14ac:dyDescent="0.2">
      <c r="B53" s="46"/>
      <c r="C53" s="47"/>
      <c r="D53" s="48"/>
      <c r="E53" s="49"/>
      <c r="F53" s="49"/>
      <c r="G53" s="48"/>
      <c r="H53" s="50"/>
      <c r="I53" s="51"/>
      <c r="J53" s="52" t="str">
        <f t="shared" si="1"/>
        <v/>
      </c>
      <c r="K53" s="53"/>
      <c r="L53" s="54"/>
    </row>
    <row r="54" spans="2:12" ht="31.5" customHeight="1" x14ac:dyDescent="0.2">
      <c r="B54" s="55"/>
      <c r="C54" s="56"/>
      <c r="D54" s="57"/>
      <c r="E54" s="58"/>
      <c r="F54" s="58"/>
      <c r="G54" s="57"/>
      <c r="H54" s="59"/>
      <c r="I54" s="60"/>
      <c r="J54" s="61" t="str">
        <f t="shared" si="1"/>
        <v/>
      </c>
      <c r="K54" s="62"/>
      <c r="L54" s="63"/>
    </row>
    <row r="55" spans="2:12" ht="31.5" customHeight="1" x14ac:dyDescent="0.2">
      <c r="B55" s="46"/>
      <c r="C55" s="47"/>
      <c r="D55" s="48"/>
      <c r="E55" s="49"/>
      <c r="F55" s="49"/>
      <c r="G55" s="48"/>
      <c r="H55" s="50"/>
      <c r="I55" s="51"/>
      <c r="J55" s="52" t="str">
        <f t="shared" si="1"/>
        <v/>
      </c>
      <c r="K55" s="53"/>
      <c r="L55" s="54"/>
    </row>
    <row r="56" spans="2:12" ht="31.5" customHeight="1" x14ac:dyDescent="0.2">
      <c r="B56" s="55"/>
      <c r="C56" s="56"/>
      <c r="D56" s="57"/>
      <c r="E56" s="58"/>
      <c r="F56" s="58"/>
      <c r="G56" s="57"/>
      <c r="H56" s="59"/>
      <c r="I56" s="60"/>
      <c r="J56" s="61" t="str">
        <f t="shared" si="1"/>
        <v/>
      </c>
      <c r="K56" s="62"/>
      <c r="L56" s="63"/>
    </row>
    <row r="57" spans="2:12" ht="31.5" customHeight="1" x14ac:dyDescent="0.2">
      <c r="B57" s="46"/>
      <c r="C57" s="47"/>
      <c r="D57" s="48"/>
      <c r="E57" s="49"/>
      <c r="F57" s="49"/>
      <c r="G57" s="48"/>
      <c r="H57" s="50"/>
      <c r="I57" s="51"/>
      <c r="J57" s="52" t="str">
        <f t="shared" si="1"/>
        <v/>
      </c>
      <c r="K57" s="53"/>
      <c r="L57" s="54"/>
    </row>
    <row r="58" spans="2:12" ht="31.5" customHeight="1" x14ac:dyDescent="0.2">
      <c r="B58" s="55"/>
      <c r="C58" s="56"/>
      <c r="D58" s="57"/>
      <c r="E58" s="58"/>
      <c r="F58" s="58"/>
      <c r="G58" s="57"/>
      <c r="H58" s="59"/>
      <c r="I58" s="60"/>
      <c r="J58" s="61" t="str">
        <f t="shared" si="1"/>
        <v/>
      </c>
      <c r="K58" s="62"/>
      <c r="L58" s="63"/>
    </row>
    <row r="59" spans="2:12" ht="31.5" customHeight="1" x14ac:dyDescent="0.2">
      <c r="B59" s="46"/>
      <c r="C59" s="47"/>
      <c r="D59" s="48"/>
      <c r="E59" s="49"/>
      <c r="F59" s="49"/>
      <c r="G59" s="48"/>
      <c r="H59" s="50"/>
      <c r="I59" s="51"/>
      <c r="J59" s="52" t="str">
        <f t="shared" si="1"/>
        <v/>
      </c>
      <c r="K59" s="53"/>
      <c r="L59" s="54"/>
    </row>
    <row r="60" spans="2:12" ht="31.5" customHeight="1" x14ac:dyDescent="0.2">
      <c r="B60" s="55"/>
      <c r="C60" s="56"/>
      <c r="D60" s="57"/>
      <c r="E60" s="58"/>
      <c r="F60" s="58"/>
      <c r="G60" s="57"/>
      <c r="H60" s="59"/>
      <c r="I60" s="60"/>
      <c r="J60" s="61" t="str">
        <f t="shared" si="1"/>
        <v/>
      </c>
      <c r="K60" s="62"/>
      <c r="L60" s="63"/>
    </row>
    <row r="61" spans="2:12" ht="31.5" customHeight="1" x14ac:dyDescent="0.2">
      <c r="B61" s="46"/>
      <c r="C61" s="47"/>
      <c r="D61" s="48"/>
      <c r="E61" s="49"/>
      <c r="F61" s="49"/>
      <c r="G61" s="48"/>
      <c r="H61" s="50"/>
      <c r="I61" s="51"/>
      <c r="J61" s="52" t="str">
        <f t="shared" si="1"/>
        <v/>
      </c>
      <c r="K61" s="53"/>
      <c r="L61" s="54"/>
    </row>
    <row r="62" spans="2:12" ht="31.5" customHeight="1" x14ac:dyDescent="0.2">
      <c r="B62" s="55"/>
      <c r="C62" s="56"/>
      <c r="D62" s="57"/>
      <c r="E62" s="58"/>
      <c r="F62" s="58"/>
      <c r="G62" s="57"/>
      <c r="H62" s="59"/>
      <c r="I62" s="60"/>
      <c r="J62" s="61" t="str">
        <f t="shared" si="1"/>
        <v/>
      </c>
      <c r="K62" s="62"/>
      <c r="L62" s="63"/>
    </row>
    <row r="63" spans="2:12" ht="31.5" customHeight="1" x14ac:dyDescent="0.2">
      <c r="B63" s="46"/>
      <c r="C63" s="47"/>
      <c r="D63" s="48"/>
      <c r="E63" s="49"/>
      <c r="F63" s="49"/>
      <c r="G63" s="48"/>
      <c r="H63" s="50"/>
      <c r="I63" s="51"/>
      <c r="J63" s="52" t="str">
        <f t="shared" si="1"/>
        <v/>
      </c>
      <c r="K63" s="53"/>
      <c r="L63" s="54"/>
    </row>
    <row r="64" spans="2:12" ht="31.5" customHeight="1" x14ac:dyDescent="0.2">
      <c r="B64" s="55"/>
      <c r="C64" s="56"/>
      <c r="D64" s="57"/>
      <c r="E64" s="58"/>
      <c r="F64" s="58"/>
      <c r="G64" s="57"/>
      <c r="H64" s="59"/>
      <c r="I64" s="60"/>
      <c r="J64" s="61" t="str">
        <f t="shared" si="1"/>
        <v/>
      </c>
      <c r="K64" s="62"/>
      <c r="L64" s="63"/>
    </row>
    <row r="65" spans="2:12" ht="31.5" customHeight="1" x14ac:dyDescent="0.2">
      <c r="B65" s="46"/>
      <c r="C65" s="47"/>
      <c r="D65" s="48"/>
      <c r="E65" s="49"/>
      <c r="F65" s="49"/>
      <c r="G65" s="48"/>
      <c r="H65" s="50"/>
      <c r="I65" s="51"/>
      <c r="J65" s="52" t="str">
        <f t="shared" si="1"/>
        <v/>
      </c>
      <c r="K65" s="53"/>
      <c r="L65" s="54"/>
    </row>
    <row r="66" spans="2:12" ht="31.5" customHeight="1" x14ac:dyDescent="0.2">
      <c r="B66" s="55"/>
      <c r="C66" s="56"/>
      <c r="D66" s="57"/>
      <c r="E66" s="58"/>
      <c r="F66" s="58"/>
      <c r="G66" s="57"/>
      <c r="H66" s="59"/>
      <c r="I66" s="60"/>
      <c r="J66" s="61" t="str">
        <f t="shared" si="1"/>
        <v/>
      </c>
      <c r="K66" s="62"/>
      <c r="L66" s="63"/>
    </row>
    <row r="67" spans="2:12" ht="15" customHeight="1" x14ac:dyDescent="0.2">
      <c r="B67" s="15"/>
      <c r="L67" s="16"/>
    </row>
    <row r="68" spans="2:12" ht="18" customHeight="1" x14ac:dyDescent="0.2">
      <c r="B68" s="75" t="s">
        <v>68</v>
      </c>
      <c r="C68" s="75"/>
      <c r="L68" s="16"/>
    </row>
    <row r="69" spans="2:12" ht="21.75" customHeight="1" x14ac:dyDescent="0.2">
      <c r="B69" s="76" t="s">
        <v>69</v>
      </c>
      <c r="C69" s="76"/>
      <c r="D69" s="77" t="s">
        <v>70</v>
      </c>
      <c r="E69" s="77"/>
      <c r="F69" s="78" t="s">
        <v>71</v>
      </c>
      <c r="G69" s="78"/>
      <c r="H69" s="79" t="s">
        <v>72</v>
      </c>
      <c r="I69" s="79"/>
      <c r="J69" s="80" t="s">
        <v>73</v>
      </c>
      <c r="K69" s="80"/>
      <c r="L69" s="16"/>
    </row>
    <row r="70" spans="2:12" ht="18" customHeight="1" x14ac:dyDescent="0.2">
      <c r="B70" s="68" t="s">
        <v>74</v>
      </c>
      <c r="C70" s="68"/>
      <c r="D70" s="68"/>
      <c r="E70" s="68"/>
      <c r="F70" s="68"/>
      <c r="G70" s="68"/>
      <c r="H70" s="68"/>
      <c r="I70" s="68"/>
      <c r="J70" s="68"/>
      <c r="K70" s="68"/>
      <c r="L70" s="68"/>
    </row>
    <row r="71" spans="2:12" ht="15" hidden="1" customHeight="1" x14ac:dyDescent="0.2"/>
    <row r="72" spans="2:12" ht="15" hidden="1" customHeight="1" x14ac:dyDescent="0.2"/>
    <row r="73" spans="2:12" ht="15" hidden="1" customHeight="1" x14ac:dyDescent="0.2"/>
    <row r="74" spans="2:12" ht="15" hidden="1" customHeight="1" x14ac:dyDescent="0.2"/>
    <row r="75" spans="2:12" ht="15" hidden="1" customHeight="1" x14ac:dyDescent="0.2"/>
    <row r="76" spans="2:12" ht="15" hidden="1" customHeight="1" x14ac:dyDescent="0.2"/>
    <row r="77" spans="2:12" ht="15" hidden="1" customHeight="1" x14ac:dyDescent="0.2"/>
    <row r="78" spans="2:12" ht="15" hidden="1" customHeight="1" x14ac:dyDescent="0.2"/>
    <row r="79" spans="2:12" ht="15" hidden="1" customHeight="1" x14ac:dyDescent="0.2"/>
    <row r="80" spans="2:12" ht="15" hidden="1" customHeight="1" x14ac:dyDescent="0.2"/>
    <row r="81" ht="15" hidden="1" customHeight="1" x14ac:dyDescent="0.2"/>
    <row r="82" ht="15" hidden="1" customHeight="1" x14ac:dyDescent="0.2"/>
    <row r="83" ht="15" hidden="1" customHeight="1" x14ac:dyDescent="0.2"/>
    <row r="84" ht="15" hidden="1" customHeight="1" x14ac:dyDescent="0.2"/>
    <row r="85" ht="15" hidden="1" customHeight="1" x14ac:dyDescent="0.2"/>
    <row r="86" ht="15" hidden="1" customHeight="1" x14ac:dyDescent="0.2"/>
    <row r="87" ht="15" hidden="1" customHeight="1" x14ac:dyDescent="0.2"/>
    <row r="88" ht="15" hidden="1" customHeight="1" x14ac:dyDescent="0.2"/>
    <row r="89" ht="15" hidden="1" customHeight="1" x14ac:dyDescent="0.2"/>
    <row r="90" ht="15" hidden="1" customHeight="1" x14ac:dyDescent="0.2"/>
    <row r="91" ht="15" hidden="1" customHeight="1" x14ac:dyDescent="0.2"/>
    <row r="92" ht="15" hidden="1" customHeight="1" x14ac:dyDescent="0.2"/>
    <row r="93" ht="15" hidden="1" customHeight="1" x14ac:dyDescent="0.2"/>
    <row r="94" ht="15" hidden="1" customHeight="1" x14ac:dyDescent="0.2"/>
    <row r="95" ht="15" hidden="1" customHeight="1" x14ac:dyDescent="0.2"/>
    <row r="96" ht="15" hidden="1" customHeight="1" x14ac:dyDescent="0.2"/>
    <row r="97" ht="15" hidden="1" customHeight="1" x14ac:dyDescent="0.2"/>
    <row r="98" ht="15" hidden="1" customHeight="1" x14ac:dyDescent="0.2"/>
    <row r="99" ht="15" hidden="1" customHeight="1" x14ac:dyDescent="0.2"/>
    <row r="100" ht="15" hidden="1" customHeight="1" x14ac:dyDescent="0.2"/>
    <row r="101" ht="15" hidden="1" customHeight="1" x14ac:dyDescent="0.2"/>
    <row r="102" ht="15" hidden="1" customHeight="1" x14ac:dyDescent="0.2"/>
    <row r="103" ht="15" hidden="1" customHeight="1" x14ac:dyDescent="0.2"/>
    <row r="104" ht="15" hidden="1" customHeight="1" x14ac:dyDescent="0.2"/>
    <row r="105" ht="15" hidden="1" customHeight="1" x14ac:dyDescent="0.2"/>
    <row r="106" ht="15" hidden="1" customHeight="1" x14ac:dyDescent="0.2"/>
    <row r="107" ht="15" hidden="1" customHeight="1" x14ac:dyDescent="0.2"/>
    <row r="108" ht="15" hidden="1" customHeight="1" x14ac:dyDescent="0.2"/>
    <row r="109" ht="15" hidden="1" customHeight="1" x14ac:dyDescent="0.2"/>
    <row r="110" ht="15" hidden="1" customHeight="1" x14ac:dyDescent="0.2"/>
    <row r="111" ht="15" hidden="1" customHeight="1" x14ac:dyDescent="0.2"/>
    <row r="112" ht="15" hidden="1" customHeight="1" x14ac:dyDescent="0.2"/>
    <row r="113" ht="15" hidden="1" customHeight="1" x14ac:dyDescent="0.2"/>
    <row r="114" ht="15" hidden="1" customHeight="1" x14ac:dyDescent="0.2"/>
    <row r="115" ht="15" hidden="1" customHeight="1" x14ac:dyDescent="0.2"/>
    <row r="116" ht="15" hidden="1" customHeight="1" x14ac:dyDescent="0.2"/>
    <row r="117" ht="15" hidden="1" customHeight="1" x14ac:dyDescent="0.2"/>
    <row r="118" ht="15" hidden="1" customHeight="1" x14ac:dyDescent="0.2"/>
    <row r="119" ht="15" hidden="1" customHeight="1" x14ac:dyDescent="0.2"/>
    <row r="120" ht="15" hidden="1" customHeight="1" x14ac:dyDescent="0.2"/>
    <row r="121" ht="15" hidden="1" customHeight="1" x14ac:dyDescent="0.2"/>
    <row r="122" ht="15" hidden="1" customHeight="1" x14ac:dyDescent="0.2"/>
    <row r="123" ht="15" hidden="1" customHeight="1" x14ac:dyDescent="0.2"/>
    <row r="124" ht="15" hidden="1" customHeight="1" x14ac:dyDescent="0.2"/>
    <row r="125" ht="15" hidden="1" customHeight="1" x14ac:dyDescent="0.2"/>
    <row r="126" ht="15" hidden="1" customHeight="1" x14ac:dyDescent="0.2"/>
    <row r="127" ht="15" hidden="1" customHeight="1" x14ac:dyDescent="0.2"/>
    <row r="128" ht="15" hidden="1" customHeight="1" x14ac:dyDescent="0.2"/>
    <row r="129" ht="15" hidden="1" customHeight="1" x14ac:dyDescent="0.2"/>
    <row r="130" ht="15" hidden="1" customHeight="1" x14ac:dyDescent="0.2"/>
    <row r="131" ht="15" hidden="1" customHeight="1" x14ac:dyDescent="0.2"/>
    <row r="132" ht="15" hidden="1" customHeight="1" x14ac:dyDescent="0.2"/>
    <row r="133" ht="15" hidden="1" customHeight="1" x14ac:dyDescent="0.2"/>
    <row r="134" ht="15" hidden="1" customHeight="1" x14ac:dyDescent="0.2"/>
    <row r="135" ht="15" hidden="1" customHeight="1" x14ac:dyDescent="0.2"/>
    <row r="136" ht="15" hidden="1" customHeight="1" x14ac:dyDescent="0.2"/>
    <row r="137" ht="15" hidden="1" customHeight="1" x14ac:dyDescent="0.2"/>
    <row r="138" ht="15" hidden="1" customHeight="1" x14ac:dyDescent="0.2"/>
    <row r="139" ht="15" hidden="1" customHeight="1" x14ac:dyDescent="0.2"/>
    <row r="140" ht="15" hidden="1" customHeight="1" x14ac:dyDescent="0.2"/>
    <row r="141" ht="15" hidden="1" customHeight="1" x14ac:dyDescent="0.2"/>
    <row r="142" ht="15" hidden="1" customHeight="1" x14ac:dyDescent="0.2"/>
    <row r="143" ht="15" hidden="1" customHeight="1" x14ac:dyDescent="0.2"/>
    <row r="144" ht="15" hidden="1" customHeight="1" x14ac:dyDescent="0.2"/>
    <row r="145" ht="15" hidden="1" customHeight="1" x14ac:dyDescent="0.2"/>
    <row r="146" ht="15" hidden="1" customHeight="1" x14ac:dyDescent="0.2"/>
    <row r="147" ht="15" hidden="1" customHeight="1" x14ac:dyDescent="0.2"/>
    <row r="148" ht="15" hidden="1" customHeight="1" x14ac:dyDescent="0.2"/>
    <row r="149" ht="15" hidden="1" customHeight="1" x14ac:dyDescent="0.2"/>
    <row r="150" ht="15" hidden="1" customHeight="1" x14ac:dyDescent="0.2"/>
    <row r="151" ht="15" hidden="1" customHeight="1" x14ac:dyDescent="0.2"/>
    <row r="152" ht="15" hidden="1" customHeight="1" x14ac:dyDescent="0.2"/>
    <row r="153" ht="15" hidden="1" customHeight="1" x14ac:dyDescent="0.2"/>
    <row r="154" ht="15" hidden="1" customHeight="1" x14ac:dyDescent="0.2"/>
    <row r="155" ht="15" hidden="1" customHeight="1" x14ac:dyDescent="0.2"/>
    <row r="156" ht="15" hidden="1" customHeight="1" x14ac:dyDescent="0.2"/>
    <row r="157" ht="15" hidden="1" customHeight="1" x14ac:dyDescent="0.2"/>
    <row r="158" ht="15" hidden="1" customHeight="1" x14ac:dyDescent="0.2"/>
    <row r="159" ht="15" hidden="1" customHeight="1" x14ac:dyDescent="0.2"/>
    <row r="160" ht="15" hidden="1" customHeight="1" x14ac:dyDescent="0.2"/>
    <row r="161" ht="15" hidden="1" customHeight="1" x14ac:dyDescent="0.2"/>
    <row r="162" ht="15" hidden="1" customHeight="1" x14ac:dyDescent="0.2"/>
    <row r="163" ht="15" hidden="1" customHeight="1" x14ac:dyDescent="0.2"/>
    <row r="164" ht="15" hidden="1" customHeight="1" x14ac:dyDescent="0.2"/>
    <row r="165" ht="15" hidden="1" customHeight="1" x14ac:dyDescent="0.2"/>
    <row r="166" ht="15" hidden="1" customHeight="1" x14ac:dyDescent="0.2"/>
    <row r="167" ht="15" hidden="1" customHeight="1" x14ac:dyDescent="0.2"/>
    <row r="168" ht="15" hidden="1" customHeight="1" x14ac:dyDescent="0.2"/>
    <row r="169" ht="15" hidden="1" customHeight="1" x14ac:dyDescent="0.2"/>
    <row r="170" ht="15" hidden="1" customHeight="1" x14ac:dyDescent="0.2"/>
    <row r="171" ht="15" hidden="1" customHeight="1" x14ac:dyDescent="0.2"/>
    <row r="172" ht="15" hidden="1" customHeight="1" x14ac:dyDescent="0.2"/>
    <row r="173" ht="15" hidden="1" customHeight="1" x14ac:dyDescent="0.2"/>
    <row r="174" ht="15" hidden="1" customHeight="1" x14ac:dyDescent="0.2"/>
    <row r="175" ht="15" hidden="1" customHeight="1" x14ac:dyDescent="0.2"/>
    <row r="176" ht="15" hidden="1" customHeight="1" x14ac:dyDescent="0.2"/>
    <row r="177" ht="15" hidden="1" customHeight="1" x14ac:dyDescent="0.2"/>
    <row r="178" ht="15" hidden="1" customHeight="1" x14ac:dyDescent="0.2"/>
    <row r="179" ht="15" hidden="1" customHeight="1" x14ac:dyDescent="0.2"/>
    <row r="180" ht="15" hidden="1" customHeight="1" x14ac:dyDescent="0.2"/>
    <row r="181" ht="15" hidden="1" customHeight="1" x14ac:dyDescent="0.2"/>
    <row r="182" ht="15" hidden="1" customHeight="1" x14ac:dyDescent="0.2"/>
    <row r="183" ht="15" hidden="1" customHeight="1" x14ac:dyDescent="0.2"/>
    <row r="184" ht="15" hidden="1" customHeight="1" x14ac:dyDescent="0.2"/>
    <row r="185" ht="15" hidden="1" customHeight="1" x14ac:dyDescent="0.2"/>
    <row r="186" ht="15" hidden="1" customHeight="1" x14ac:dyDescent="0.2"/>
    <row r="187" ht="15" hidden="1" customHeight="1" x14ac:dyDescent="0.2"/>
    <row r="188" ht="15" hidden="1" customHeight="1" x14ac:dyDescent="0.2"/>
    <row r="189" ht="15" hidden="1" customHeight="1" x14ac:dyDescent="0.2"/>
    <row r="190" ht="15" hidden="1" customHeight="1" x14ac:dyDescent="0.2"/>
    <row r="191" ht="15" hidden="1" customHeight="1" x14ac:dyDescent="0.2"/>
    <row r="192" ht="15" hidden="1" customHeight="1" x14ac:dyDescent="0.2"/>
    <row r="193" ht="15" hidden="1" customHeight="1" x14ac:dyDescent="0.2"/>
    <row r="194" ht="15" hidden="1" customHeight="1" x14ac:dyDescent="0.2"/>
    <row r="195" ht="15" hidden="1" customHeight="1" x14ac:dyDescent="0.2"/>
    <row r="196" ht="15" hidden="1" customHeight="1" x14ac:dyDescent="0.2"/>
    <row r="197" ht="15" hidden="1" customHeight="1" x14ac:dyDescent="0.2"/>
    <row r="198" ht="15" hidden="1" customHeight="1" x14ac:dyDescent="0.2"/>
    <row r="199" ht="15" hidden="1" customHeight="1" x14ac:dyDescent="0.2"/>
    <row r="200" ht="15" hidden="1" customHeight="1" x14ac:dyDescent="0.2"/>
    <row r="201" ht="15" hidden="1" customHeight="1" x14ac:dyDescent="0.2"/>
    <row r="202" ht="15" hidden="1" customHeight="1" x14ac:dyDescent="0.2"/>
    <row r="203" ht="15" hidden="1" customHeight="1" x14ac:dyDescent="0.2"/>
    <row r="204" ht="15" hidden="1" customHeight="1" x14ac:dyDescent="0.2"/>
    <row r="205" ht="15" hidden="1" customHeight="1" x14ac:dyDescent="0.2"/>
    <row r="206" ht="15" hidden="1" customHeight="1" x14ac:dyDescent="0.2"/>
    <row r="207" ht="15" hidden="1" customHeight="1" x14ac:dyDescent="0.2"/>
    <row r="208" ht="15" hidden="1" customHeight="1" x14ac:dyDescent="0.2"/>
    <row r="209" ht="15" hidden="1" customHeight="1" x14ac:dyDescent="0.2"/>
    <row r="210" ht="15" hidden="1" customHeight="1" x14ac:dyDescent="0.2"/>
    <row r="211" ht="15" hidden="1" customHeight="1" x14ac:dyDescent="0.2"/>
    <row r="212" ht="15" hidden="1" customHeight="1" x14ac:dyDescent="0.2"/>
    <row r="213" ht="15" hidden="1" customHeight="1" x14ac:dyDescent="0.2"/>
    <row r="214" ht="15" hidden="1" customHeight="1" x14ac:dyDescent="0.2"/>
    <row r="215" ht="15" hidden="1" customHeight="1" x14ac:dyDescent="0.2"/>
    <row r="216" ht="15" hidden="1" customHeight="1" x14ac:dyDescent="0.2"/>
    <row r="217" ht="15" hidden="1" customHeight="1" x14ac:dyDescent="0.2"/>
    <row r="218" ht="15" hidden="1" customHeight="1" x14ac:dyDescent="0.2"/>
    <row r="219" ht="15" hidden="1" customHeight="1" x14ac:dyDescent="0.2"/>
    <row r="220" ht="15" hidden="1" customHeight="1" x14ac:dyDescent="0.2"/>
    <row r="221" ht="15" hidden="1" customHeight="1" x14ac:dyDescent="0.2"/>
    <row r="222" ht="15" hidden="1" customHeight="1" x14ac:dyDescent="0.2"/>
    <row r="223" ht="15" hidden="1" customHeight="1" x14ac:dyDescent="0.2"/>
    <row r="224" ht="15" hidden="1" customHeight="1" x14ac:dyDescent="0.2"/>
    <row r="225" ht="15" hidden="1" customHeight="1" x14ac:dyDescent="0.2"/>
    <row r="226" ht="15" hidden="1" customHeight="1" x14ac:dyDescent="0.2"/>
    <row r="227" ht="15" hidden="1" customHeight="1" x14ac:dyDescent="0.2"/>
    <row r="228" ht="15" hidden="1" customHeight="1" x14ac:dyDescent="0.2"/>
    <row r="229" ht="15" hidden="1" customHeight="1" x14ac:dyDescent="0.2"/>
    <row r="230" ht="15" hidden="1" customHeight="1" x14ac:dyDescent="0.2"/>
    <row r="231" ht="15" hidden="1" customHeight="1" x14ac:dyDescent="0.2"/>
    <row r="232" ht="15" hidden="1" customHeight="1" x14ac:dyDescent="0.2"/>
    <row r="233" ht="15" hidden="1" customHeight="1" x14ac:dyDescent="0.2"/>
    <row r="234" ht="15" hidden="1" customHeight="1" x14ac:dyDescent="0.2"/>
    <row r="235" ht="15" hidden="1" customHeight="1" x14ac:dyDescent="0.2"/>
    <row r="236" ht="15" hidden="1" customHeight="1" x14ac:dyDescent="0.2"/>
    <row r="237" ht="15" hidden="1" customHeight="1" x14ac:dyDescent="0.2"/>
    <row r="238" ht="15" hidden="1" customHeight="1" x14ac:dyDescent="0.2"/>
    <row r="239" ht="15" hidden="1" customHeight="1" x14ac:dyDescent="0.2"/>
    <row r="240" ht="15" hidden="1" customHeight="1" x14ac:dyDescent="0.2"/>
    <row r="241" ht="15" hidden="1" customHeight="1" x14ac:dyDescent="0.2"/>
    <row r="242" ht="15" hidden="1" customHeight="1" x14ac:dyDescent="0.2"/>
    <row r="243" ht="15" hidden="1" customHeight="1" x14ac:dyDescent="0.2"/>
    <row r="244" ht="15" hidden="1" customHeight="1" x14ac:dyDescent="0.2"/>
    <row r="245" ht="15" hidden="1" customHeight="1" x14ac:dyDescent="0.2"/>
    <row r="246" ht="15" hidden="1" customHeight="1" x14ac:dyDescent="0.2"/>
    <row r="247" ht="15" hidden="1" customHeight="1" x14ac:dyDescent="0.2"/>
    <row r="248" ht="15" hidden="1" customHeight="1" x14ac:dyDescent="0.2"/>
    <row r="249" ht="15" hidden="1" customHeight="1" x14ac:dyDescent="0.2"/>
    <row r="250" ht="15" hidden="1" customHeight="1" x14ac:dyDescent="0.2"/>
    <row r="251" ht="15" hidden="1" customHeight="1" x14ac:dyDescent="0.2"/>
    <row r="252" ht="15" hidden="1" customHeight="1" x14ac:dyDescent="0.2"/>
    <row r="253" ht="15" hidden="1" customHeight="1" x14ac:dyDescent="0.2"/>
    <row r="254" ht="15" hidden="1" customHeight="1" x14ac:dyDescent="0.2"/>
    <row r="255" ht="15" hidden="1" customHeight="1" x14ac:dyDescent="0.2"/>
    <row r="256" ht="15" hidden="1" customHeight="1" x14ac:dyDescent="0.2"/>
    <row r="257" ht="15" hidden="1" customHeight="1" x14ac:dyDescent="0.2"/>
    <row r="258" ht="15" hidden="1" customHeight="1" x14ac:dyDescent="0.2"/>
    <row r="259" ht="15" hidden="1" customHeight="1" x14ac:dyDescent="0.2"/>
    <row r="260" ht="15" hidden="1" customHeight="1" x14ac:dyDescent="0.2"/>
    <row r="261" ht="15" hidden="1" customHeight="1" x14ac:dyDescent="0.2"/>
    <row r="262" ht="15" hidden="1" customHeight="1" x14ac:dyDescent="0.2"/>
    <row r="263" ht="15" hidden="1" customHeight="1" x14ac:dyDescent="0.2"/>
    <row r="264" ht="15" hidden="1" customHeight="1" x14ac:dyDescent="0.2"/>
    <row r="265" ht="15" hidden="1" customHeight="1" x14ac:dyDescent="0.2"/>
    <row r="266" ht="15" hidden="1" customHeight="1" x14ac:dyDescent="0.2"/>
    <row r="267" ht="15" hidden="1" customHeight="1" x14ac:dyDescent="0.2"/>
    <row r="268" ht="15" hidden="1" customHeight="1" x14ac:dyDescent="0.2"/>
    <row r="269" ht="15" hidden="1" customHeight="1" x14ac:dyDescent="0.2"/>
    <row r="270" ht="15" hidden="1" customHeight="1" x14ac:dyDescent="0.2"/>
    <row r="271" ht="15" hidden="1" customHeight="1" x14ac:dyDescent="0.2"/>
    <row r="272" ht="15" hidden="1" customHeight="1" x14ac:dyDescent="0.2"/>
    <row r="273" ht="15" hidden="1" customHeight="1" x14ac:dyDescent="0.2"/>
    <row r="274" ht="15" hidden="1" customHeight="1" x14ac:dyDescent="0.2"/>
    <row r="275" ht="15" hidden="1" customHeight="1" x14ac:dyDescent="0.2"/>
    <row r="276" ht="15" hidden="1" customHeight="1" x14ac:dyDescent="0.2"/>
    <row r="277" ht="15" hidden="1" customHeight="1" x14ac:dyDescent="0.2"/>
    <row r="278" ht="15" hidden="1" customHeight="1" x14ac:dyDescent="0.2"/>
    <row r="279" ht="15" hidden="1" customHeight="1" x14ac:dyDescent="0.2"/>
    <row r="280" ht="15" hidden="1" customHeight="1" x14ac:dyDescent="0.2"/>
    <row r="281" ht="15" hidden="1" customHeight="1" x14ac:dyDescent="0.2"/>
    <row r="282" ht="15" hidden="1" customHeight="1" x14ac:dyDescent="0.2"/>
    <row r="283" ht="15" hidden="1" customHeight="1" x14ac:dyDescent="0.2"/>
    <row r="284" ht="15" hidden="1" customHeight="1" x14ac:dyDescent="0.2"/>
    <row r="285" ht="15" hidden="1" customHeight="1" x14ac:dyDescent="0.2"/>
    <row r="286" ht="15" hidden="1" customHeight="1" x14ac:dyDescent="0.2"/>
    <row r="287" ht="15" hidden="1" customHeight="1" x14ac:dyDescent="0.2"/>
    <row r="288" ht="15" hidden="1" customHeight="1" x14ac:dyDescent="0.2"/>
    <row r="289" ht="15" hidden="1" customHeight="1" x14ac:dyDescent="0.2"/>
    <row r="290" ht="15" hidden="1" customHeight="1" x14ac:dyDescent="0.2"/>
    <row r="291" ht="15" hidden="1" customHeight="1" x14ac:dyDescent="0.2"/>
    <row r="292" ht="15" hidden="1" customHeight="1" x14ac:dyDescent="0.2"/>
    <row r="293" ht="15" hidden="1" customHeight="1" x14ac:dyDescent="0.2"/>
    <row r="294" ht="15" hidden="1" customHeight="1" x14ac:dyDescent="0.2"/>
    <row r="295" ht="15" hidden="1" customHeight="1" x14ac:dyDescent="0.2"/>
    <row r="296" ht="15" hidden="1" customHeight="1" x14ac:dyDescent="0.2"/>
    <row r="297" ht="15" hidden="1" customHeight="1" x14ac:dyDescent="0.2"/>
    <row r="298" ht="15" hidden="1" customHeight="1" x14ac:dyDescent="0.2"/>
    <row r="299" ht="15" hidden="1" customHeight="1" x14ac:dyDescent="0.2"/>
    <row r="300" ht="15" hidden="1" customHeight="1" x14ac:dyDescent="0.2"/>
    <row r="301" ht="15" hidden="1" customHeight="1" x14ac:dyDescent="0.2"/>
    <row r="302" ht="15" hidden="1" customHeight="1" x14ac:dyDescent="0.2"/>
    <row r="303" ht="15" hidden="1" customHeight="1" x14ac:dyDescent="0.2"/>
    <row r="304" ht="15" hidden="1" customHeight="1" x14ac:dyDescent="0.2"/>
    <row r="305" ht="15" hidden="1" customHeight="1" x14ac:dyDescent="0.2"/>
    <row r="306" ht="15" hidden="1" customHeight="1" x14ac:dyDescent="0.2"/>
    <row r="307" ht="15" hidden="1" customHeight="1" x14ac:dyDescent="0.2"/>
    <row r="308" ht="15" hidden="1" customHeight="1" x14ac:dyDescent="0.2"/>
    <row r="309" ht="15" hidden="1" customHeight="1" x14ac:dyDescent="0.2"/>
    <row r="310" ht="15" hidden="1" customHeight="1" x14ac:dyDescent="0.2"/>
    <row r="311" ht="15" hidden="1" customHeight="1" x14ac:dyDescent="0.2"/>
    <row r="312" ht="15" hidden="1" customHeight="1" x14ac:dyDescent="0.2"/>
    <row r="313" ht="15" hidden="1" customHeight="1" x14ac:dyDescent="0.2"/>
    <row r="314" ht="15" hidden="1" customHeight="1" x14ac:dyDescent="0.2"/>
    <row r="315" ht="15" hidden="1" customHeight="1" x14ac:dyDescent="0.2"/>
    <row r="316" ht="15" hidden="1" customHeight="1" x14ac:dyDescent="0.2"/>
    <row r="317" ht="15" hidden="1" customHeight="1" x14ac:dyDescent="0.2"/>
    <row r="318" ht="15" hidden="1" customHeight="1" x14ac:dyDescent="0.2"/>
    <row r="319" ht="15" hidden="1" customHeight="1" x14ac:dyDescent="0.2"/>
    <row r="320" ht="15" hidden="1" customHeight="1" x14ac:dyDescent="0.2"/>
    <row r="321" ht="15" hidden="1" customHeight="1" x14ac:dyDescent="0.2"/>
    <row r="322" ht="15" hidden="1" customHeight="1" x14ac:dyDescent="0.2"/>
    <row r="323" ht="15" hidden="1" customHeight="1" x14ac:dyDescent="0.2"/>
    <row r="324" ht="15" hidden="1" customHeight="1" x14ac:dyDescent="0.2"/>
    <row r="325" ht="15" hidden="1" customHeight="1" x14ac:dyDescent="0.2"/>
    <row r="326" ht="15" hidden="1" customHeight="1" x14ac:dyDescent="0.2"/>
    <row r="327" ht="15" hidden="1" customHeight="1" x14ac:dyDescent="0.2"/>
    <row r="328" ht="15" hidden="1" customHeight="1" x14ac:dyDescent="0.2"/>
    <row r="329" ht="15" hidden="1" customHeight="1" x14ac:dyDescent="0.2"/>
    <row r="330" ht="15" hidden="1" customHeight="1" x14ac:dyDescent="0.2"/>
    <row r="331" ht="15" hidden="1" customHeight="1" x14ac:dyDescent="0.2"/>
    <row r="332" ht="15" hidden="1" customHeight="1" x14ac:dyDescent="0.2"/>
    <row r="333" ht="15" hidden="1" customHeight="1" x14ac:dyDescent="0.2"/>
    <row r="334" ht="15" hidden="1" customHeight="1" x14ac:dyDescent="0.2"/>
    <row r="335" ht="15" hidden="1" customHeight="1" x14ac:dyDescent="0.2"/>
    <row r="336" ht="15" hidden="1" customHeight="1" x14ac:dyDescent="0.2"/>
    <row r="337" ht="15" hidden="1" customHeight="1" x14ac:dyDescent="0.2"/>
    <row r="338" ht="15" hidden="1" customHeight="1" x14ac:dyDescent="0.2"/>
    <row r="339" ht="15" hidden="1" customHeight="1" x14ac:dyDescent="0.2"/>
    <row r="340" ht="15" hidden="1" customHeight="1" x14ac:dyDescent="0.2"/>
    <row r="341" ht="15" hidden="1" customHeight="1" x14ac:dyDescent="0.2"/>
    <row r="342" ht="15" hidden="1" customHeight="1" x14ac:dyDescent="0.2"/>
    <row r="343" ht="15" hidden="1" customHeight="1" x14ac:dyDescent="0.2"/>
    <row r="344" ht="15" hidden="1" customHeight="1" x14ac:dyDescent="0.2"/>
    <row r="345" ht="15" hidden="1" customHeight="1" x14ac:dyDescent="0.2"/>
    <row r="346" ht="15" hidden="1" customHeight="1" x14ac:dyDescent="0.2"/>
    <row r="347" ht="15" hidden="1" customHeight="1" x14ac:dyDescent="0.2"/>
    <row r="348" ht="15" hidden="1" customHeight="1" x14ac:dyDescent="0.2"/>
    <row r="349" ht="15" hidden="1" customHeight="1" x14ac:dyDescent="0.2"/>
    <row r="350" ht="15" hidden="1" customHeight="1" x14ac:dyDescent="0.2"/>
    <row r="351" ht="15" hidden="1" customHeight="1" x14ac:dyDescent="0.2"/>
    <row r="352" ht="15" hidden="1" customHeight="1" x14ac:dyDescent="0.2"/>
    <row r="353" ht="15" hidden="1" customHeight="1" x14ac:dyDescent="0.2"/>
    <row r="354" ht="15" hidden="1" customHeight="1" x14ac:dyDescent="0.2"/>
    <row r="355" ht="15" hidden="1" customHeight="1" x14ac:dyDescent="0.2"/>
    <row r="356" ht="15" hidden="1" customHeight="1" x14ac:dyDescent="0.2"/>
    <row r="357" ht="15" hidden="1" customHeight="1" x14ac:dyDescent="0.2"/>
    <row r="358" ht="15" hidden="1" customHeight="1" x14ac:dyDescent="0.2"/>
    <row r="359" ht="15" hidden="1" customHeight="1" x14ac:dyDescent="0.2"/>
    <row r="360" ht="15" hidden="1" customHeight="1" x14ac:dyDescent="0.2"/>
    <row r="361" ht="15" hidden="1" customHeight="1" x14ac:dyDescent="0.2"/>
    <row r="362" ht="15" hidden="1" customHeight="1" x14ac:dyDescent="0.2"/>
    <row r="363" ht="15" hidden="1" customHeight="1" x14ac:dyDescent="0.2"/>
    <row r="364" ht="15" hidden="1" customHeight="1" x14ac:dyDescent="0.2"/>
    <row r="365" ht="15" hidden="1" customHeight="1" x14ac:dyDescent="0.2"/>
    <row r="366" ht="15" hidden="1" customHeight="1" x14ac:dyDescent="0.2"/>
    <row r="367" ht="15" hidden="1" customHeight="1" x14ac:dyDescent="0.2"/>
    <row r="368" ht="15" hidden="1" customHeight="1" x14ac:dyDescent="0.2"/>
    <row r="369" ht="15" hidden="1" customHeight="1" x14ac:dyDescent="0.2"/>
    <row r="370" ht="15" hidden="1" customHeight="1" x14ac:dyDescent="0.2"/>
    <row r="371" ht="15" hidden="1" customHeight="1" x14ac:dyDescent="0.2"/>
    <row r="372" ht="15" hidden="1" customHeight="1" x14ac:dyDescent="0.2"/>
    <row r="373" ht="15" hidden="1" customHeight="1" x14ac:dyDescent="0.2"/>
    <row r="374" ht="15" hidden="1" customHeight="1" x14ac:dyDescent="0.2"/>
    <row r="375" ht="15" hidden="1" customHeight="1" x14ac:dyDescent="0.2"/>
    <row r="376" ht="15" hidden="1" customHeight="1" x14ac:dyDescent="0.2"/>
    <row r="377" ht="15" hidden="1" customHeight="1" x14ac:dyDescent="0.2"/>
    <row r="378" ht="15" hidden="1" customHeight="1" x14ac:dyDescent="0.2"/>
    <row r="379" ht="15" hidden="1" customHeight="1" x14ac:dyDescent="0.2"/>
    <row r="380" ht="15" hidden="1" customHeight="1" x14ac:dyDescent="0.2"/>
    <row r="381" ht="15" hidden="1" customHeight="1" x14ac:dyDescent="0.2"/>
    <row r="382" ht="15" hidden="1" customHeight="1" x14ac:dyDescent="0.2"/>
    <row r="383" ht="15" hidden="1" customHeight="1" x14ac:dyDescent="0.2"/>
    <row r="384" ht="15" hidden="1" customHeight="1" x14ac:dyDescent="0.2"/>
    <row r="385" ht="15" hidden="1" customHeight="1" x14ac:dyDescent="0.2"/>
    <row r="386" ht="15" hidden="1" customHeight="1" x14ac:dyDescent="0.2"/>
    <row r="387" ht="15" hidden="1" customHeight="1" x14ac:dyDescent="0.2"/>
    <row r="388" ht="15" hidden="1" customHeight="1" x14ac:dyDescent="0.2"/>
    <row r="389" ht="15" hidden="1" customHeight="1" x14ac:dyDescent="0.2"/>
    <row r="390" ht="15" hidden="1" customHeight="1" x14ac:dyDescent="0.2"/>
    <row r="391" ht="15" hidden="1" customHeight="1" x14ac:dyDescent="0.2"/>
    <row r="392" ht="15" hidden="1" customHeight="1" x14ac:dyDescent="0.2"/>
    <row r="393" ht="15" hidden="1" customHeight="1" x14ac:dyDescent="0.2"/>
    <row r="394" ht="15" hidden="1" customHeight="1" x14ac:dyDescent="0.2"/>
    <row r="395" ht="15" hidden="1" customHeight="1" x14ac:dyDescent="0.2"/>
    <row r="396" ht="15" hidden="1" customHeight="1" x14ac:dyDescent="0.2"/>
    <row r="397" ht="15" hidden="1" customHeight="1" x14ac:dyDescent="0.2"/>
    <row r="398" ht="15" hidden="1" customHeight="1" x14ac:dyDescent="0.2"/>
    <row r="399" ht="15" hidden="1" customHeight="1" x14ac:dyDescent="0.2"/>
    <row r="400" ht="15" hidden="1" customHeight="1" x14ac:dyDescent="0.2"/>
    <row r="401" ht="15" hidden="1" customHeight="1" x14ac:dyDescent="0.2"/>
    <row r="402" ht="15" hidden="1" customHeight="1" x14ac:dyDescent="0.2"/>
    <row r="403" ht="15" hidden="1" customHeight="1" x14ac:dyDescent="0.2"/>
    <row r="404" ht="15" hidden="1" customHeight="1" x14ac:dyDescent="0.2"/>
    <row r="405" ht="15" hidden="1" customHeight="1" x14ac:dyDescent="0.2"/>
    <row r="406" ht="15" hidden="1" customHeight="1" x14ac:dyDescent="0.2"/>
    <row r="407" ht="15" hidden="1" customHeight="1" x14ac:dyDescent="0.2"/>
    <row r="408" ht="15" hidden="1" customHeight="1" x14ac:dyDescent="0.2"/>
    <row r="409" ht="15" hidden="1" customHeight="1" x14ac:dyDescent="0.2"/>
    <row r="410" ht="15" hidden="1" customHeight="1" x14ac:dyDescent="0.2"/>
    <row r="411" ht="15" hidden="1" customHeight="1" x14ac:dyDescent="0.2"/>
    <row r="412" ht="15" hidden="1" customHeight="1" x14ac:dyDescent="0.2"/>
    <row r="413" ht="15" hidden="1" customHeight="1" x14ac:dyDescent="0.2"/>
    <row r="414" ht="15" hidden="1" customHeight="1" x14ac:dyDescent="0.2"/>
    <row r="415" ht="15" hidden="1" customHeight="1" x14ac:dyDescent="0.2"/>
    <row r="416" ht="15" hidden="1" customHeight="1" x14ac:dyDescent="0.2"/>
    <row r="417" ht="15" hidden="1" customHeight="1" x14ac:dyDescent="0.2"/>
    <row r="418" ht="15" hidden="1" customHeight="1" x14ac:dyDescent="0.2"/>
    <row r="419" ht="15" hidden="1" customHeight="1" x14ac:dyDescent="0.2"/>
    <row r="420" ht="15" hidden="1" customHeight="1" x14ac:dyDescent="0.2"/>
    <row r="421" ht="15" hidden="1" customHeight="1" x14ac:dyDescent="0.2"/>
    <row r="422" ht="15" hidden="1" customHeight="1" x14ac:dyDescent="0.2"/>
    <row r="423" ht="15" hidden="1" customHeight="1" x14ac:dyDescent="0.2"/>
    <row r="424" ht="15" hidden="1" customHeight="1" x14ac:dyDescent="0.2"/>
    <row r="425" ht="15" hidden="1" customHeight="1" x14ac:dyDescent="0.2"/>
    <row r="426" ht="15" hidden="1" customHeight="1" x14ac:dyDescent="0.2"/>
    <row r="427" ht="15" hidden="1" customHeight="1" x14ac:dyDescent="0.2"/>
    <row r="428" ht="15" hidden="1" customHeight="1" x14ac:dyDescent="0.2"/>
    <row r="429" ht="15" hidden="1" customHeight="1" x14ac:dyDescent="0.2"/>
    <row r="430" ht="15" hidden="1" customHeight="1" x14ac:dyDescent="0.2"/>
    <row r="431" ht="15" hidden="1" customHeight="1" x14ac:dyDescent="0.2"/>
    <row r="432" ht="15" hidden="1" customHeight="1" x14ac:dyDescent="0.2"/>
    <row r="433" ht="15" hidden="1" customHeight="1" x14ac:dyDescent="0.2"/>
    <row r="434" ht="15" hidden="1" customHeight="1" x14ac:dyDescent="0.2"/>
    <row r="435" ht="15" hidden="1" customHeight="1" x14ac:dyDescent="0.2"/>
    <row r="436" ht="15" hidden="1" customHeight="1" x14ac:dyDescent="0.2"/>
    <row r="437" ht="15" hidden="1" customHeight="1" x14ac:dyDescent="0.2"/>
    <row r="438" ht="15" hidden="1" customHeight="1" x14ac:dyDescent="0.2"/>
    <row r="439" ht="15" hidden="1" customHeight="1" x14ac:dyDescent="0.2"/>
    <row r="440" ht="15" hidden="1" customHeight="1" x14ac:dyDescent="0.2"/>
    <row r="441" ht="15" hidden="1" customHeight="1" x14ac:dyDescent="0.2"/>
    <row r="442" ht="15" hidden="1" customHeight="1" x14ac:dyDescent="0.2"/>
    <row r="443" ht="15" hidden="1" customHeight="1" x14ac:dyDescent="0.2"/>
    <row r="444" ht="15" hidden="1" customHeight="1" x14ac:dyDescent="0.2"/>
    <row r="445" ht="15" hidden="1" customHeight="1" x14ac:dyDescent="0.2"/>
    <row r="446" ht="15" hidden="1" customHeight="1" x14ac:dyDescent="0.2"/>
    <row r="447" ht="15" hidden="1" customHeight="1" x14ac:dyDescent="0.2"/>
    <row r="448" ht="15" hidden="1" customHeight="1" x14ac:dyDescent="0.2"/>
    <row r="449" ht="15" hidden="1" customHeight="1" x14ac:dyDescent="0.2"/>
    <row r="450" ht="15" hidden="1" customHeight="1" x14ac:dyDescent="0.2"/>
    <row r="451" ht="15" hidden="1" customHeight="1" x14ac:dyDescent="0.2"/>
    <row r="452" ht="15" hidden="1" customHeight="1" x14ac:dyDescent="0.2"/>
    <row r="453" ht="15" hidden="1" customHeight="1" x14ac:dyDescent="0.2"/>
    <row r="454" ht="15" hidden="1" customHeight="1" x14ac:dyDescent="0.2"/>
    <row r="455" ht="15" hidden="1" customHeight="1" x14ac:dyDescent="0.2"/>
    <row r="456" ht="15" hidden="1" customHeight="1" x14ac:dyDescent="0.2"/>
    <row r="457" ht="15" hidden="1" customHeight="1" x14ac:dyDescent="0.2"/>
    <row r="458" ht="15" hidden="1" customHeight="1" x14ac:dyDescent="0.2"/>
    <row r="459" ht="15" hidden="1" customHeight="1" x14ac:dyDescent="0.2"/>
    <row r="460" ht="15" hidden="1" customHeight="1" x14ac:dyDescent="0.2"/>
    <row r="461" ht="15" hidden="1" customHeight="1" x14ac:dyDescent="0.2"/>
    <row r="462" ht="15" hidden="1" customHeight="1" x14ac:dyDescent="0.2"/>
    <row r="463" ht="15" hidden="1" customHeight="1" x14ac:dyDescent="0.2"/>
    <row r="464" ht="15" hidden="1" customHeight="1" x14ac:dyDescent="0.2"/>
    <row r="465" ht="15" hidden="1" customHeight="1" x14ac:dyDescent="0.2"/>
    <row r="466" ht="15" hidden="1" customHeight="1" x14ac:dyDescent="0.2"/>
    <row r="467" ht="15" hidden="1" customHeight="1" x14ac:dyDescent="0.2"/>
    <row r="468" ht="15" hidden="1" customHeight="1" x14ac:dyDescent="0.2"/>
    <row r="469" ht="15" hidden="1" customHeight="1" x14ac:dyDescent="0.2"/>
    <row r="470" ht="15" hidden="1" customHeight="1" x14ac:dyDescent="0.2"/>
    <row r="471" ht="15" hidden="1" customHeight="1" x14ac:dyDescent="0.2"/>
    <row r="472" ht="15" hidden="1" customHeight="1" x14ac:dyDescent="0.2"/>
    <row r="473" ht="15" hidden="1" customHeight="1" x14ac:dyDescent="0.2"/>
    <row r="474" ht="15" hidden="1" customHeight="1" x14ac:dyDescent="0.2"/>
    <row r="475" ht="15" hidden="1" customHeight="1" x14ac:dyDescent="0.2"/>
    <row r="476" ht="15" hidden="1" customHeight="1" x14ac:dyDescent="0.2"/>
    <row r="477" ht="15" hidden="1" customHeight="1" x14ac:dyDescent="0.2"/>
    <row r="478" ht="15" hidden="1" customHeight="1" x14ac:dyDescent="0.2"/>
    <row r="479" ht="15" hidden="1" customHeight="1" x14ac:dyDescent="0.2"/>
    <row r="480" ht="15" hidden="1" customHeight="1" x14ac:dyDescent="0.2"/>
    <row r="481" ht="15" hidden="1" customHeight="1" x14ac:dyDescent="0.2"/>
    <row r="482" ht="15" hidden="1" customHeight="1" x14ac:dyDescent="0.2"/>
    <row r="483" ht="15" hidden="1" customHeight="1" x14ac:dyDescent="0.2"/>
    <row r="484" ht="15" hidden="1" customHeight="1" x14ac:dyDescent="0.2"/>
    <row r="485" ht="15" hidden="1" customHeight="1" x14ac:dyDescent="0.2"/>
    <row r="486" ht="15" hidden="1" customHeight="1" x14ac:dyDescent="0.2"/>
    <row r="487" ht="15" hidden="1" customHeight="1" x14ac:dyDescent="0.2"/>
    <row r="488" ht="15" hidden="1" customHeight="1" x14ac:dyDescent="0.2"/>
    <row r="489" ht="15" hidden="1" customHeight="1" x14ac:dyDescent="0.2"/>
    <row r="490" ht="15" hidden="1" customHeight="1" x14ac:dyDescent="0.2"/>
    <row r="491" ht="15" hidden="1" customHeight="1" x14ac:dyDescent="0.2"/>
    <row r="492" ht="15" hidden="1" customHeight="1" x14ac:dyDescent="0.2"/>
    <row r="493" ht="15" hidden="1" customHeight="1" x14ac:dyDescent="0.2"/>
    <row r="494" ht="15" hidden="1" customHeight="1" x14ac:dyDescent="0.2"/>
    <row r="495" ht="15" hidden="1" customHeight="1" x14ac:dyDescent="0.2"/>
    <row r="496" ht="15" hidden="1" customHeight="1" x14ac:dyDescent="0.2"/>
    <row r="497" ht="15" hidden="1" customHeight="1" x14ac:dyDescent="0.2"/>
    <row r="498" ht="15" hidden="1" customHeight="1" x14ac:dyDescent="0.2"/>
    <row r="499" ht="15" hidden="1" customHeight="1" x14ac:dyDescent="0.2"/>
  </sheetData>
  <mergeCells count="9">
    <mergeCell ref="B70:L70"/>
    <mergeCell ref="B2:L2"/>
    <mergeCell ref="B3:L3"/>
    <mergeCell ref="B68:C68"/>
    <mergeCell ref="B69:C69"/>
    <mergeCell ref="D69:E69"/>
    <mergeCell ref="F69:G69"/>
    <mergeCell ref="H69:I69"/>
    <mergeCell ref="J69:K69"/>
  </mergeCells>
  <conditionalFormatting sqref="B7:L66">
    <cfRule type="expression" dxfId="10" priority="7">
      <formula>AND($K7="Submitted",$J7&lt;&gt;"",$J7&lt;TODAY())</formula>
    </cfRule>
    <cfRule type="expression" dxfId="9" priority="8">
      <formula>$K7="In tender"</formula>
    </cfRule>
    <cfRule type="expression" dxfId="8" priority="9">
      <formula>$K7="Submitted"</formula>
    </cfRule>
    <cfRule type="expression" dxfId="7" priority="10">
      <formula>$K7="Won"</formula>
    </cfRule>
    <cfRule type="expression" dxfId="6" priority="11">
      <formula>$K7="Lost"</formula>
    </cfRule>
  </conditionalFormatting>
  <conditionalFormatting sqref="J7:J66">
    <cfRule type="expression" dxfId="5" priority="12">
      <formula>AND($K7="Submitted",$J7&lt;&gt;"",$J7&lt;TODAY())</formula>
    </cfRule>
  </conditionalFormatting>
  <conditionalFormatting sqref="K7:K66">
    <cfRule type="expression" dxfId="4" priority="2">
      <formula>AND($K7="Submitted",$J7&lt;&gt;"",$J7&lt;TODAY())</formula>
    </cfRule>
    <cfRule type="expression" dxfId="3" priority="3">
      <formula>$K7="In tender"</formula>
    </cfRule>
    <cfRule type="expression" dxfId="2" priority="4">
      <formula>$K7="Submitted"</formula>
    </cfRule>
    <cfRule type="expression" dxfId="1" priority="5">
      <formula>$K7="Won"</formula>
    </cfRule>
    <cfRule type="expression" dxfId="0" priority="6">
      <formula>$K7="Lost"</formula>
    </cfRule>
  </conditionalFormatting>
  <dataValidations count="1">
    <dataValidation type="list" allowBlank="1" sqref="K7:K66" xr:uid="{00000000-0002-0000-0200-000000000000}">
      <formula1>"In tender,Submitted,Won,Lost"</formula1>
      <formula2>0</formula2>
    </dataValidation>
  </dataValidations>
  <pageMargins left="0.3" right="0.3" top="0.4" bottom="0.4" header="0.511811023622047" footer="0.511811023622047"/>
  <pageSetup paperSize="9" fitToHeight="2" orientation="landscape" horizontalDpi="300" verticalDpi="300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Microsoft Macintosh Excel</Application>
  <DocSecurity>0</DocSecurity>
  <ScaleCrop>false</ScaleCrop>
  <HeadingPairs>
    <vt:vector size="4" baseType="variant">
      <vt:variant>
        <vt:lpstr>Worksheets</vt:lpstr>
      </vt:variant>
      <vt:variant>
        <vt:i4>3</vt:i4>
      </vt:variant>
      <vt:variant>
        <vt:lpstr>Named Ranges</vt:lpstr>
      </vt:variant>
      <vt:variant>
        <vt:i4>3</vt:i4>
      </vt:variant>
    </vt:vector>
  </HeadingPairs>
  <TitlesOfParts>
    <vt:vector size="6" baseType="lpstr">
      <vt:lpstr>Read Me</vt:lpstr>
      <vt:lpstr>Dashboard</vt:lpstr>
      <vt:lpstr>Register</vt:lpstr>
      <vt:lpstr>Dashboard!Print_Area</vt:lpstr>
      <vt:lpstr>'Read Me'!Print_Area</vt:lpstr>
      <vt:lpstr>Register!Print_Area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openpyxl</dc:creator>
  <dc:description/>
  <cp:lastModifiedBy>liam@remc.uk</cp:lastModifiedBy>
  <cp:revision>0</cp:revision>
  <dcterms:created xsi:type="dcterms:W3CDTF">2026-05-14T10:44:26Z</dcterms:created>
  <dcterms:modified xsi:type="dcterms:W3CDTF">2026-05-14T10:49:09Z</dcterms:modified>
  <dc:language>en-US</dc:language>
</cp:coreProperties>
</file>